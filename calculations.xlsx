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luhe\Desktop\Proyectos Data\Marketing Conversion - analysis\"/>
    </mc:Choice>
  </mc:AlternateContent>
  <xr:revisionPtr revIDLastSave="0" documentId="13_ncr:1_{860C607E-4E9C-401A-AD52-76DF2EA6165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_data" sheetId="2" r:id="rId1"/>
    <sheet name="Descriptive_Stats" sheetId="1" r:id="rId2"/>
    <sheet name="Distributions" sheetId="3" r:id="rId3"/>
  </sheets>
  <externalReferences>
    <externalReference r:id="rId4"/>
  </externalReferences>
  <definedNames>
    <definedName name="DatosExternos_1" localSheetId="0" hidden="1">raw_data!$A$1:$Z$1000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4" i="1"/>
  <c r="L3" i="1"/>
  <c r="L2" i="1"/>
  <c r="K5" i="1"/>
  <c r="K4" i="1"/>
  <c r="K3" i="1"/>
  <c r="K2" i="1"/>
  <c r="J5" i="1"/>
  <c r="J4" i="1"/>
  <c r="J3" i="1"/>
  <c r="J2" i="1"/>
  <c r="I2" i="1"/>
  <c r="I3" i="1"/>
  <c r="I4" i="1"/>
  <c r="I5" i="1"/>
  <c r="B5" i="3"/>
  <c r="B7" i="3"/>
  <c r="B6" i="3"/>
  <c r="B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D4ED76-C6BC-4C0A-8FBF-0FCE2B0FADBA}" keepAlive="1" name="Consulta - Capstone Dataset" description="Conexión a la consulta 'Capstone Dataset' en el libro." type="5" refreshedVersion="8" background="1" saveData="1">
    <dbPr connection="Provider=Microsoft.Mashup.OleDb.1;Data Source=$Workbook$;Location=&quot;Capstone Dataset&quot;;Extended Properties=&quot;&quot;" command="SELECT * FROM [Capstone Dataset]"/>
  </connection>
</connections>
</file>

<file path=xl/sharedStrings.xml><?xml version="1.0" encoding="utf-8"?>
<sst xmlns="http://schemas.openxmlformats.org/spreadsheetml/2006/main" count="780" uniqueCount="69">
  <si>
    <t>Date</t>
  </si>
  <si>
    <t>Facebook Ad Campaign</t>
  </si>
  <si>
    <t>Facebook Ad Views</t>
  </si>
  <si>
    <t>Facebook Ad Clicks</t>
  </si>
  <si>
    <t>Facebook Ad Conversions</t>
  </si>
  <si>
    <t>Cost per Facebook Ad</t>
  </si>
  <si>
    <t>Facebook Click-Through Rate (Clicks / View)</t>
  </si>
  <si>
    <t>Facebook Conversion Rate (Conversions / Clicks)</t>
  </si>
  <si>
    <t>Facebook Cost per Click (Ad Cost / Clicks)</t>
  </si>
  <si>
    <t>AdWords Ad Campaign</t>
  </si>
  <si>
    <t>AdWords Ad Views</t>
  </si>
  <si>
    <t>AdWords Ad Clicks</t>
  </si>
  <si>
    <t>AdWords Ad Conversions</t>
  </si>
  <si>
    <t>Cost per AdWords Ad</t>
  </si>
  <si>
    <t>AdWords Click-Through Rate (Clicks / View)</t>
  </si>
  <si>
    <t>AdWords Conversion Rate (Conversions / Click)</t>
  </si>
  <si>
    <t>AdWords Cost per Click (Ad Cost / Clicks)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</si>
  <si>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</si>
  <si>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</si>
  <si>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</si>
  <si>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</si>
  <si>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</si>
  <si>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</si>
  <si>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</si>
  <si>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</si>
  <si>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</si>
  <si>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FB_Jan</t>
  </si>
  <si>
    <t>AW_Jan</t>
  </si>
  <si>
    <t>FB_Feb</t>
  </si>
  <si>
    <t>AW_Feb</t>
  </si>
  <si>
    <t>FB_Mar</t>
  </si>
  <si>
    <t>AW_Mar</t>
  </si>
  <si>
    <t>FB_Apr</t>
  </si>
  <si>
    <t>AW_Apr</t>
  </si>
  <si>
    <t>FB_May</t>
  </si>
  <si>
    <t>AW_May</t>
  </si>
  <si>
    <t>FB_Jun</t>
  </si>
  <si>
    <t>AW_Jun</t>
  </si>
  <si>
    <t>FB_Jul</t>
  </si>
  <si>
    <t>AW_Jul</t>
  </si>
  <si>
    <t>FB_Aug</t>
  </si>
  <si>
    <t>AW_Aug</t>
  </si>
  <si>
    <t>FB_Sep</t>
  </si>
  <si>
    <t>AW_Sep</t>
  </si>
  <si>
    <t>FB_Oct</t>
  </si>
  <si>
    <t>AW_Oct</t>
  </si>
  <si>
    <t>FB_Nov</t>
  </si>
  <si>
    <t>AW_Nov</t>
  </si>
  <si>
    <t>FB_Dec</t>
  </si>
  <si>
    <t>AW_Dec</t>
  </si>
  <si>
    <t>Standar Dev</t>
  </si>
  <si>
    <t>Cantidades</t>
  </si>
  <si>
    <t>Frecuencias</t>
  </si>
  <si>
    <t>Menos de 6:</t>
  </si>
  <si>
    <t>De 6 a 10:</t>
  </si>
  <si>
    <t>De 11 a 15:</t>
  </si>
  <si>
    <t>Más de 15:</t>
  </si>
  <si>
    <t>Click_Bin</t>
  </si>
  <si>
    <t>Click_frequency</t>
  </si>
  <si>
    <t>Conversion_Bin</t>
  </si>
  <si>
    <t>Conversion_frequency</t>
  </si>
  <si>
    <t>Mean</t>
  </si>
  <si>
    <t>Median</t>
  </si>
  <si>
    <t>Mode</t>
  </si>
  <si>
    <t>Metric</t>
  </si>
  <si>
    <t xml:space="preserve">Adwords Clicks </t>
  </si>
  <si>
    <t>Adwords Conversions</t>
  </si>
  <si>
    <t>Facebook Clicks</t>
  </si>
  <si>
    <t>Facebook Conversions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</si>
</sst>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6FC"/>
        <bgColor rgb="FFD9E6FC"/>
      </patternFill>
    </fill>
  </fills>
  <borders count="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19" formatCode="m/d/yyyy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Sheet1-style" pivot="0" count="4" xr9:uid="{9D1D8A22-C845-4834-9795-7D02275BBE7B}">
      <tableStyleElement type="wholeTable" size="0" dxfId="7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US" b="0">
                <a:solidFill>
                  <a:srgbClr val="757575"/>
                </a:solidFill>
                <a:latin typeface="+mn-lt"/>
              </a:rPr>
              <a:t>AdWords Ad Conversions frente a AdWords Ad Clicks</a:t>
            </a:r>
          </a:p>
        </c:rich>
      </c:tx>
      <c:layout>
        <c:manualLayout>
          <c:xMode val="edge"/>
          <c:yMode val="edge"/>
          <c:x val="0.11787209098862642"/>
          <c:y val="2.15633423180593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[1]Sheet1!$C$1</c:f>
              <c:strCache>
                <c:ptCount val="1"/>
                <c:pt idx="0">
                  <c:v>AdWords Ad Conversions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CORREL = 0.44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[1]Sheet1!$B$2:$B$366</c:f>
              <c:numCache>
                <c:formatCode>General</c:formatCode>
                <c:ptCount val="365"/>
                <c:pt idx="0">
                  <c:v>59</c:v>
                </c:pt>
                <c:pt idx="1">
                  <c:v>71</c:v>
                </c:pt>
                <c:pt idx="2">
                  <c:v>44</c:v>
                </c:pt>
                <c:pt idx="3">
                  <c:v>49</c:v>
                </c:pt>
                <c:pt idx="4">
                  <c:v>55</c:v>
                </c:pt>
                <c:pt idx="5">
                  <c:v>51</c:v>
                </c:pt>
                <c:pt idx="6">
                  <c:v>66</c:v>
                </c:pt>
                <c:pt idx="7">
                  <c:v>69</c:v>
                </c:pt>
                <c:pt idx="8">
                  <c:v>82</c:v>
                </c:pt>
                <c:pt idx="9">
                  <c:v>48</c:v>
                </c:pt>
                <c:pt idx="10">
                  <c:v>58</c:v>
                </c:pt>
                <c:pt idx="11">
                  <c:v>68</c:v>
                </c:pt>
                <c:pt idx="12">
                  <c:v>83</c:v>
                </c:pt>
                <c:pt idx="13">
                  <c:v>78</c:v>
                </c:pt>
                <c:pt idx="14">
                  <c:v>36</c:v>
                </c:pt>
                <c:pt idx="15">
                  <c:v>48</c:v>
                </c:pt>
                <c:pt idx="16">
                  <c:v>52</c:v>
                </c:pt>
                <c:pt idx="17">
                  <c:v>49</c:v>
                </c:pt>
                <c:pt idx="18">
                  <c:v>68</c:v>
                </c:pt>
                <c:pt idx="19">
                  <c:v>81</c:v>
                </c:pt>
                <c:pt idx="20">
                  <c:v>49</c:v>
                </c:pt>
                <c:pt idx="21">
                  <c:v>43</c:v>
                </c:pt>
                <c:pt idx="22">
                  <c:v>63</c:v>
                </c:pt>
                <c:pt idx="23">
                  <c:v>80</c:v>
                </c:pt>
                <c:pt idx="24">
                  <c:v>50</c:v>
                </c:pt>
                <c:pt idx="25">
                  <c:v>53</c:v>
                </c:pt>
                <c:pt idx="26">
                  <c:v>77</c:v>
                </c:pt>
                <c:pt idx="27">
                  <c:v>44</c:v>
                </c:pt>
                <c:pt idx="28">
                  <c:v>78</c:v>
                </c:pt>
                <c:pt idx="29">
                  <c:v>42</c:v>
                </c:pt>
                <c:pt idx="30">
                  <c:v>50</c:v>
                </c:pt>
                <c:pt idx="31">
                  <c:v>72</c:v>
                </c:pt>
                <c:pt idx="32">
                  <c:v>76</c:v>
                </c:pt>
                <c:pt idx="33">
                  <c:v>41</c:v>
                </c:pt>
                <c:pt idx="34">
                  <c:v>49</c:v>
                </c:pt>
                <c:pt idx="35">
                  <c:v>78</c:v>
                </c:pt>
                <c:pt idx="36">
                  <c:v>69</c:v>
                </c:pt>
                <c:pt idx="37">
                  <c:v>58</c:v>
                </c:pt>
                <c:pt idx="38">
                  <c:v>48</c:v>
                </c:pt>
                <c:pt idx="39">
                  <c:v>44</c:v>
                </c:pt>
                <c:pt idx="40">
                  <c:v>43</c:v>
                </c:pt>
                <c:pt idx="41">
                  <c:v>71</c:v>
                </c:pt>
                <c:pt idx="42">
                  <c:v>74</c:v>
                </c:pt>
                <c:pt idx="43">
                  <c:v>74</c:v>
                </c:pt>
                <c:pt idx="44">
                  <c:v>80</c:v>
                </c:pt>
                <c:pt idx="45">
                  <c:v>40</c:v>
                </c:pt>
                <c:pt idx="46">
                  <c:v>63</c:v>
                </c:pt>
                <c:pt idx="47">
                  <c:v>36</c:v>
                </c:pt>
                <c:pt idx="48">
                  <c:v>74</c:v>
                </c:pt>
                <c:pt idx="49">
                  <c:v>62</c:v>
                </c:pt>
                <c:pt idx="50">
                  <c:v>67</c:v>
                </c:pt>
                <c:pt idx="51">
                  <c:v>64</c:v>
                </c:pt>
                <c:pt idx="52">
                  <c:v>61</c:v>
                </c:pt>
                <c:pt idx="53">
                  <c:v>74</c:v>
                </c:pt>
                <c:pt idx="54">
                  <c:v>71</c:v>
                </c:pt>
                <c:pt idx="55">
                  <c:v>52</c:v>
                </c:pt>
                <c:pt idx="56">
                  <c:v>66</c:v>
                </c:pt>
                <c:pt idx="57">
                  <c:v>47</c:v>
                </c:pt>
                <c:pt idx="58">
                  <c:v>32</c:v>
                </c:pt>
                <c:pt idx="59">
                  <c:v>68</c:v>
                </c:pt>
                <c:pt idx="60">
                  <c:v>51</c:v>
                </c:pt>
                <c:pt idx="61">
                  <c:v>42</c:v>
                </c:pt>
                <c:pt idx="62">
                  <c:v>50</c:v>
                </c:pt>
                <c:pt idx="63">
                  <c:v>56</c:v>
                </c:pt>
                <c:pt idx="64">
                  <c:v>71</c:v>
                </c:pt>
                <c:pt idx="65">
                  <c:v>33</c:v>
                </c:pt>
                <c:pt idx="66">
                  <c:v>70</c:v>
                </c:pt>
                <c:pt idx="67">
                  <c:v>33</c:v>
                </c:pt>
                <c:pt idx="68">
                  <c:v>62</c:v>
                </c:pt>
                <c:pt idx="69">
                  <c:v>87</c:v>
                </c:pt>
                <c:pt idx="70">
                  <c:v>65</c:v>
                </c:pt>
                <c:pt idx="71">
                  <c:v>60</c:v>
                </c:pt>
                <c:pt idx="72">
                  <c:v>44</c:v>
                </c:pt>
                <c:pt idx="73">
                  <c:v>66</c:v>
                </c:pt>
                <c:pt idx="74">
                  <c:v>58</c:v>
                </c:pt>
                <c:pt idx="75">
                  <c:v>54</c:v>
                </c:pt>
                <c:pt idx="76">
                  <c:v>70</c:v>
                </c:pt>
                <c:pt idx="77">
                  <c:v>45</c:v>
                </c:pt>
                <c:pt idx="78">
                  <c:v>34</c:v>
                </c:pt>
                <c:pt idx="79">
                  <c:v>41</c:v>
                </c:pt>
                <c:pt idx="80">
                  <c:v>66</c:v>
                </c:pt>
                <c:pt idx="81">
                  <c:v>55</c:v>
                </c:pt>
                <c:pt idx="82">
                  <c:v>78</c:v>
                </c:pt>
                <c:pt idx="83">
                  <c:v>41</c:v>
                </c:pt>
                <c:pt idx="84">
                  <c:v>68</c:v>
                </c:pt>
                <c:pt idx="85">
                  <c:v>74</c:v>
                </c:pt>
                <c:pt idx="86">
                  <c:v>62</c:v>
                </c:pt>
                <c:pt idx="87">
                  <c:v>40</c:v>
                </c:pt>
                <c:pt idx="88">
                  <c:v>67</c:v>
                </c:pt>
                <c:pt idx="89">
                  <c:v>79</c:v>
                </c:pt>
                <c:pt idx="90">
                  <c:v>59</c:v>
                </c:pt>
                <c:pt idx="91">
                  <c:v>73</c:v>
                </c:pt>
                <c:pt idx="92">
                  <c:v>56</c:v>
                </c:pt>
                <c:pt idx="93">
                  <c:v>82</c:v>
                </c:pt>
                <c:pt idx="94">
                  <c:v>62</c:v>
                </c:pt>
                <c:pt idx="95">
                  <c:v>76</c:v>
                </c:pt>
                <c:pt idx="96">
                  <c:v>35</c:v>
                </c:pt>
                <c:pt idx="97">
                  <c:v>61</c:v>
                </c:pt>
                <c:pt idx="98">
                  <c:v>65</c:v>
                </c:pt>
                <c:pt idx="99">
                  <c:v>83</c:v>
                </c:pt>
                <c:pt idx="100">
                  <c:v>35</c:v>
                </c:pt>
                <c:pt idx="101">
                  <c:v>44</c:v>
                </c:pt>
                <c:pt idx="102">
                  <c:v>57</c:v>
                </c:pt>
                <c:pt idx="103">
                  <c:v>76</c:v>
                </c:pt>
                <c:pt idx="104">
                  <c:v>48</c:v>
                </c:pt>
                <c:pt idx="105">
                  <c:v>62</c:v>
                </c:pt>
                <c:pt idx="106">
                  <c:v>45</c:v>
                </c:pt>
                <c:pt idx="107">
                  <c:v>34</c:v>
                </c:pt>
                <c:pt idx="108">
                  <c:v>51</c:v>
                </c:pt>
                <c:pt idx="109">
                  <c:v>85</c:v>
                </c:pt>
                <c:pt idx="110">
                  <c:v>59</c:v>
                </c:pt>
                <c:pt idx="111">
                  <c:v>67</c:v>
                </c:pt>
                <c:pt idx="112">
                  <c:v>77</c:v>
                </c:pt>
                <c:pt idx="113">
                  <c:v>60</c:v>
                </c:pt>
                <c:pt idx="114">
                  <c:v>53</c:v>
                </c:pt>
                <c:pt idx="115">
                  <c:v>84</c:v>
                </c:pt>
                <c:pt idx="116">
                  <c:v>37</c:v>
                </c:pt>
                <c:pt idx="117">
                  <c:v>67</c:v>
                </c:pt>
                <c:pt idx="118">
                  <c:v>57</c:v>
                </c:pt>
                <c:pt idx="119">
                  <c:v>83</c:v>
                </c:pt>
                <c:pt idx="120">
                  <c:v>70</c:v>
                </c:pt>
                <c:pt idx="121">
                  <c:v>67</c:v>
                </c:pt>
                <c:pt idx="122">
                  <c:v>37</c:v>
                </c:pt>
                <c:pt idx="123">
                  <c:v>58</c:v>
                </c:pt>
                <c:pt idx="124">
                  <c:v>68</c:v>
                </c:pt>
                <c:pt idx="125">
                  <c:v>72</c:v>
                </c:pt>
                <c:pt idx="126">
                  <c:v>60</c:v>
                </c:pt>
                <c:pt idx="127">
                  <c:v>41</c:v>
                </c:pt>
                <c:pt idx="128">
                  <c:v>40</c:v>
                </c:pt>
                <c:pt idx="129">
                  <c:v>49</c:v>
                </c:pt>
                <c:pt idx="130">
                  <c:v>52</c:v>
                </c:pt>
                <c:pt idx="131">
                  <c:v>78</c:v>
                </c:pt>
                <c:pt idx="132">
                  <c:v>83</c:v>
                </c:pt>
                <c:pt idx="133">
                  <c:v>38</c:v>
                </c:pt>
                <c:pt idx="134">
                  <c:v>41</c:v>
                </c:pt>
                <c:pt idx="135">
                  <c:v>72</c:v>
                </c:pt>
                <c:pt idx="136">
                  <c:v>54</c:v>
                </c:pt>
                <c:pt idx="137">
                  <c:v>36</c:v>
                </c:pt>
                <c:pt idx="138">
                  <c:v>54</c:v>
                </c:pt>
                <c:pt idx="139">
                  <c:v>55</c:v>
                </c:pt>
                <c:pt idx="140">
                  <c:v>45</c:v>
                </c:pt>
                <c:pt idx="141">
                  <c:v>83</c:v>
                </c:pt>
                <c:pt idx="142">
                  <c:v>55</c:v>
                </c:pt>
                <c:pt idx="143">
                  <c:v>41</c:v>
                </c:pt>
                <c:pt idx="144">
                  <c:v>73</c:v>
                </c:pt>
                <c:pt idx="145">
                  <c:v>77</c:v>
                </c:pt>
                <c:pt idx="146">
                  <c:v>88</c:v>
                </c:pt>
                <c:pt idx="147">
                  <c:v>63</c:v>
                </c:pt>
                <c:pt idx="148">
                  <c:v>60</c:v>
                </c:pt>
                <c:pt idx="149">
                  <c:v>76</c:v>
                </c:pt>
                <c:pt idx="150">
                  <c:v>48</c:v>
                </c:pt>
                <c:pt idx="151">
                  <c:v>58</c:v>
                </c:pt>
                <c:pt idx="152">
                  <c:v>45</c:v>
                </c:pt>
                <c:pt idx="153">
                  <c:v>56</c:v>
                </c:pt>
                <c:pt idx="154">
                  <c:v>73</c:v>
                </c:pt>
                <c:pt idx="155">
                  <c:v>48</c:v>
                </c:pt>
                <c:pt idx="156">
                  <c:v>71</c:v>
                </c:pt>
                <c:pt idx="157">
                  <c:v>70</c:v>
                </c:pt>
                <c:pt idx="158">
                  <c:v>60</c:v>
                </c:pt>
                <c:pt idx="159">
                  <c:v>56</c:v>
                </c:pt>
                <c:pt idx="160">
                  <c:v>85</c:v>
                </c:pt>
                <c:pt idx="161">
                  <c:v>53</c:v>
                </c:pt>
                <c:pt idx="162">
                  <c:v>80</c:v>
                </c:pt>
                <c:pt idx="163">
                  <c:v>54</c:v>
                </c:pt>
                <c:pt idx="164">
                  <c:v>59</c:v>
                </c:pt>
                <c:pt idx="165">
                  <c:v>40</c:v>
                </c:pt>
                <c:pt idx="166">
                  <c:v>75</c:v>
                </c:pt>
                <c:pt idx="167">
                  <c:v>53</c:v>
                </c:pt>
                <c:pt idx="168">
                  <c:v>84</c:v>
                </c:pt>
                <c:pt idx="169">
                  <c:v>78</c:v>
                </c:pt>
                <c:pt idx="170">
                  <c:v>76</c:v>
                </c:pt>
                <c:pt idx="171">
                  <c:v>67</c:v>
                </c:pt>
                <c:pt idx="172">
                  <c:v>80</c:v>
                </c:pt>
                <c:pt idx="173">
                  <c:v>52</c:v>
                </c:pt>
                <c:pt idx="174">
                  <c:v>50</c:v>
                </c:pt>
                <c:pt idx="175">
                  <c:v>71</c:v>
                </c:pt>
                <c:pt idx="176">
                  <c:v>50</c:v>
                </c:pt>
                <c:pt idx="177">
                  <c:v>81</c:v>
                </c:pt>
                <c:pt idx="178">
                  <c:v>65</c:v>
                </c:pt>
                <c:pt idx="179">
                  <c:v>48</c:v>
                </c:pt>
                <c:pt idx="180">
                  <c:v>54</c:v>
                </c:pt>
                <c:pt idx="181">
                  <c:v>75</c:v>
                </c:pt>
                <c:pt idx="182">
                  <c:v>74</c:v>
                </c:pt>
                <c:pt idx="183">
                  <c:v>85</c:v>
                </c:pt>
                <c:pt idx="184">
                  <c:v>54</c:v>
                </c:pt>
                <c:pt idx="185">
                  <c:v>43</c:v>
                </c:pt>
                <c:pt idx="186">
                  <c:v>54</c:v>
                </c:pt>
                <c:pt idx="187">
                  <c:v>54</c:v>
                </c:pt>
                <c:pt idx="188">
                  <c:v>55</c:v>
                </c:pt>
                <c:pt idx="189">
                  <c:v>57</c:v>
                </c:pt>
                <c:pt idx="190">
                  <c:v>49</c:v>
                </c:pt>
                <c:pt idx="191">
                  <c:v>79</c:v>
                </c:pt>
                <c:pt idx="192">
                  <c:v>80</c:v>
                </c:pt>
                <c:pt idx="193">
                  <c:v>47</c:v>
                </c:pt>
                <c:pt idx="194">
                  <c:v>73</c:v>
                </c:pt>
                <c:pt idx="195">
                  <c:v>46</c:v>
                </c:pt>
                <c:pt idx="196">
                  <c:v>67</c:v>
                </c:pt>
                <c:pt idx="197">
                  <c:v>72</c:v>
                </c:pt>
                <c:pt idx="198">
                  <c:v>81</c:v>
                </c:pt>
                <c:pt idx="199">
                  <c:v>38</c:v>
                </c:pt>
                <c:pt idx="200">
                  <c:v>41</c:v>
                </c:pt>
                <c:pt idx="201">
                  <c:v>78</c:v>
                </c:pt>
                <c:pt idx="202">
                  <c:v>75</c:v>
                </c:pt>
                <c:pt idx="203">
                  <c:v>56</c:v>
                </c:pt>
                <c:pt idx="204">
                  <c:v>57</c:v>
                </c:pt>
                <c:pt idx="205">
                  <c:v>53</c:v>
                </c:pt>
                <c:pt idx="206">
                  <c:v>74</c:v>
                </c:pt>
                <c:pt idx="207">
                  <c:v>75</c:v>
                </c:pt>
                <c:pt idx="208">
                  <c:v>78</c:v>
                </c:pt>
                <c:pt idx="209">
                  <c:v>37</c:v>
                </c:pt>
                <c:pt idx="210">
                  <c:v>78</c:v>
                </c:pt>
                <c:pt idx="211">
                  <c:v>83</c:v>
                </c:pt>
                <c:pt idx="212">
                  <c:v>41</c:v>
                </c:pt>
                <c:pt idx="213">
                  <c:v>59</c:v>
                </c:pt>
                <c:pt idx="214">
                  <c:v>68</c:v>
                </c:pt>
                <c:pt idx="215">
                  <c:v>62</c:v>
                </c:pt>
                <c:pt idx="216">
                  <c:v>46</c:v>
                </c:pt>
                <c:pt idx="217">
                  <c:v>88</c:v>
                </c:pt>
                <c:pt idx="218">
                  <c:v>42</c:v>
                </c:pt>
                <c:pt idx="219">
                  <c:v>54</c:v>
                </c:pt>
                <c:pt idx="220">
                  <c:v>46</c:v>
                </c:pt>
                <c:pt idx="221">
                  <c:v>57</c:v>
                </c:pt>
                <c:pt idx="222">
                  <c:v>50</c:v>
                </c:pt>
                <c:pt idx="223">
                  <c:v>62</c:v>
                </c:pt>
                <c:pt idx="224">
                  <c:v>85</c:v>
                </c:pt>
                <c:pt idx="225">
                  <c:v>81</c:v>
                </c:pt>
                <c:pt idx="226">
                  <c:v>41</c:v>
                </c:pt>
                <c:pt idx="227">
                  <c:v>76</c:v>
                </c:pt>
                <c:pt idx="228">
                  <c:v>66</c:v>
                </c:pt>
                <c:pt idx="229">
                  <c:v>70</c:v>
                </c:pt>
                <c:pt idx="230">
                  <c:v>68</c:v>
                </c:pt>
                <c:pt idx="231">
                  <c:v>61</c:v>
                </c:pt>
                <c:pt idx="232">
                  <c:v>32</c:v>
                </c:pt>
                <c:pt idx="233">
                  <c:v>47</c:v>
                </c:pt>
                <c:pt idx="234">
                  <c:v>43</c:v>
                </c:pt>
                <c:pt idx="235">
                  <c:v>42</c:v>
                </c:pt>
                <c:pt idx="236">
                  <c:v>63</c:v>
                </c:pt>
                <c:pt idx="237">
                  <c:v>71</c:v>
                </c:pt>
                <c:pt idx="238">
                  <c:v>69</c:v>
                </c:pt>
                <c:pt idx="239">
                  <c:v>57</c:v>
                </c:pt>
                <c:pt idx="240">
                  <c:v>58</c:v>
                </c:pt>
                <c:pt idx="241">
                  <c:v>39</c:v>
                </c:pt>
                <c:pt idx="242">
                  <c:v>81</c:v>
                </c:pt>
                <c:pt idx="243">
                  <c:v>80</c:v>
                </c:pt>
                <c:pt idx="244">
                  <c:v>48</c:v>
                </c:pt>
                <c:pt idx="245">
                  <c:v>74</c:v>
                </c:pt>
                <c:pt idx="246">
                  <c:v>53</c:v>
                </c:pt>
                <c:pt idx="247">
                  <c:v>52</c:v>
                </c:pt>
                <c:pt idx="248">
                  <c:v>82</c:v>
                </c:pt>
                <c:pt idx="249">
                  <c:v>57</c:v>
                </c:pt>
                <c:pt idx="250">
                  <c:v>48</c:v>
                </c:pt>
                <c:pt idx="251">
                  <c:v>80</c:v>
                </c:pt>
                <c:pt idx="252">
                  <c:v>45</c:v>
                </c:pt>
                <c:pt idx="253">
                  <c:v>56</c:v>
                </c:pt>
                <c:pt idx="254">
                  <c:v>44</c:v>
                </c:pt>
                <c:pt idx="255">
                  <c:v>70</c:v>
                </c:pt>
                <c:pt idx="256">
                  <c:v>64</c:v>
                </c:pt>
                <c:pt idx="257">
                  <c:v>65</c:v>
                </c:pt>
                <c:pt idx="258">
                  <c:v>61</c:v>
                </c:pt>
                <c:pt idx="259">
                  <c:v>84</c:v>
                </c:pt>
                <c:pt idx="260">
                  <c:v>78</c:v>
                </c:pt>
                <c:pt idx="261">
                  <c:v>78</c:v>
                </c:pt>
                <c:pt idx="262">
                  <c:v>44</c:v>
                </c:pt>
                <c:pt idx="263">
                  <c:v>51</c:v>
                </c:pt>
                <c:pt idx="264">
                  <c:v>60</c:v>
                </c:pt>
                <c:pt idx="265">
                  <c:v>78</c:v>
                </c:pt>
                <c:pt idx="266">
                  <c:v>75</c:v>
                </c:pt>
                <c:pt idx="267">
                  <c:v>58</c:v>
                </c:pt>
                <c:pt idx="268">
                  <c:v>65</c:v>
                </c:pt>
                <c:pt idx="269">
                  <c:v>66</c:v>
                </c:pt>
                <c:pt idx="270">
                  <c:v>81</c:v>
                </c:pt>
                <c:pt idx="271">
                  <c:v>38</c:v>
                </c:pt>
                <c:pt idx="272">
                  <c:v>60</c:v>
                </c:pt>
                <c:pt idx="273">
                  <c:v>53</c:v>
                </c:pt>
                <c:pt idx="274">
                  <c:v>71</c:v>
                </c:pt>
                <c:pt idx="275">
                  <c:v>50</c:v>
                </c:pt>
                <c:pt idx="276">
                  <c:v>43</c:v>
                </c:pt>
                <c:pt idx="277">
                  <c:v>77</c:v>
                </c:pt>
                <c:pt idx="278">
                  <c:v>40</c:v>
                </c:pt>
                <c:pt idx="279">
                  <c:v>70</c:v>
                </c:pt>
                <c:pt idx="280">
                  <c:v>71</c:v>
                </c:pt>
                <c:pt idx="281">
                  <c:v>66</c:v>
                </c:pt>
                <c:pt idx="282">
                  <c:v>80</c:v>
                </c:pt>
                <c:pt idx="283">
                  <c:v>43</c:v>
                </c:pt>
                <c:pt idx="284">
                  <c:v>50</c:v>
                </c:pt>
                <c:pt idx="285">
                  <c:v>89</c:v>
                </c:pt>
                <c:pt idx="286">
                  <c:v>68</c:v>
                </c:pt>
                <c:pt idx="287">
                  <c:v>52</c:v>
                </c:pt>
                <c:pt idx="288">
                  <c:v>51</c:v>
                </c:pt>
                <c:pt idx="289">
                  <c:v>40</c:v>
                </c:pt>
                <c:pt idx="290">
                  <c:v>40</c:v>
                </c:pt>
                <c:pt idx="291">
                  <c:v>50</c:v>
                </c:pt>
                <c:pt idx="292">
                  <c:v>65</c:v>
                </c:pt>
                <c:pt idx="293">
                  <c:v>47</c:v>
                </c:pt>
                <c:pt idx="294">
                  <c:v>77</c:v>
                </c:pt>
                <c:pt idx="295">
                  <c:v>55</c:v>
                </c:pt>
                <c:pt idx="296">
                  <c:v>74</c:v>
                </c:pt>
                <c:pt idx="297">
                  <c:v>76</c:v>
                </c:pt>
                <c:pt idx="298">
                  <c:v>52</c:v>
                </c:pt>
                <c:pt idx="299">
                  <c:v>67</c:v>
                </c:pt>
                <c:pt idx="300">
                  <c:v>48</c:v>
                </c:pt>
                <c:pt idx="301">
                  <c:v>63</c:v>
                </c:pt>
                <c:pt idx="302">
                  <c:v>54</c:v>
                </c:pt>
                <c:pt idx="303">
                  <c:v>38</c:v>
                </c:pt>
                <c:pt idx="304">
                  <c:v>75</c:v>
                </c:pt>
                <c:pt idx="305">
                  <c:v>73</c:v>
                </c:pt>
                <c:pt idx="306">
                  <c:v>52</c:v>
                </c:pt>
                <c:pt idx="307">
                  <c:v>49</c:v>
                </c:pt>
                <c:pt idx="308">
                  <c:v>47</c:v>
                </c:pt>
                <c:pt idx="309">
                  <c:v>65</c:v>
                </c:pt>
                <c:pt idx="310">
                  <c:v>79</c:v>
                </c:pt>
                <c:pt idx="311">
                  <c:v>43</c:v>
                </c:pt>
                <c:pt idx="312">
                  <c:v>58</c:v>
                </c:pt>
                <c:pt idx="313">
                  <c:v>52</c:v>
                </c:pt>
                <c:pt idx="314">
                  <c:v>44</c:v>
                </c:pt>
                <c:pt idx="315">
                  <c:v>44</c:v>
                </c:pt>
                <c:pt idx="316">
                  <c:v>61</c:v>
                </c:pt>
                <c:pt idx="317">
                  <c:v>84</c:v>
                </c:pt>
                <c:pt idx="318">
                  <c:v>53</c:v>
                </c:pt>
                <c:pt idx="319">
                  <c:v>60</c:v>
                </c:pt>
                <c:pt idx="320">
                  <c:v>79</c:v>
                </c:pt>
                <c:pt idx="321">
                  <c:v>85</c:v>
                </c:pt>
                <c:pt idx="322">
                  <c:v>74</c:v>
                </c:pt>
                <c:pt idx="323">
                  <c:v>69</c:v>
                </c:pt>
                <c:pt idx="324">
                  <c:v>51</c:v>
                </c:pt>
                <c:pt idx="325">
                  <c:v>51</c:v>
                </c:pt>
                <c:pt idx="326">
                  <c:v>81</c:v>
                </c:pt>
                <c:pt idx="327">
                  <c:v>70</c:v>
                </c:pt>
                <c:pt idx="328">
                  <c:v>58</c:v>
                </c:pt>
                <c:pt idx="329">
                  <c:v>77</c:v>
                </c:pt>
                <c:pt idx="330">
                  <c:v>58</c:v>
                </c:pt>
                <c:pt idx="331">
                  <c:v>46</c:v>
                </c:pt>
                <c:pt idx="332">
                  <c:v>41</c:v>
                </c:pt>
                <c:pt idx="333">
                  <c:v>68</c:v>
                </c:pt>
                <c:pt idx="334">
                  <c:v>67</c:v>
                </c:pt>
                <c:pt idx="335">
                  <c:v>45</c:v>
                </c:pt>
                <c:pt idx="336">
                  <c:v>42</c:v>
                </c:pt>
                <c:pt idx="337">
                  <c:v>50</c:v>
                </c:pt>
                <c:pt idx="338">
                  <c:v>75</c:v>
                </c:pt>
                <c:pt idx="339">
                  <c:v>59</c:v>
                </c:pt>
                <c:pt idx="340">
                  <c:v>70</c:v>
                </c:pt>
                <c:pt idx="341">
                  <c:v>44</c:v>
                </c:pt>
                <c:pt idx="342">
                  <c:v>85</c:v>
                </c:pt>
                <c:pt idx="343">
                  <c:v>31</c:v>
                </c:pt>
                <c:pt idx="344">
                  <c:v>50</c:v>
                </c:pt>
                <c:pt idx="345">
                  <c:v>54</c:v>
                </c:pt>
                <c:pt idx="346">
                  <c:v>55</c:v>
                </c:pt>
                <c:pt idx="347">
                  <c:v>59</c:v>
                </c:pt>
                <c:pt idx="348">
                  <c:v>77</c:v>
                </c:pt>
                <c:pt idx="349">
                  <c:v>89</c:v>
                </c:pt>
                <c:pt idx="350">
                  <c:v>64</c:v>
                </c:pt>
                <c:pt idx="351">
                  <c:v>57</c:v>
                </c:pt>
                <c:pt idx="352">
                  <c:v>74</c:v>
                </c:pt>
                <c:pt idx="353">
                  <c:v>59</c:v>
                </c:pt>
                <c:pt idx="354">
                  <c:v>41</c:v>
                </c:pt>
                <c:pt idx="355">
                  <c:v>64</c:v>
                </c:pt>
                <c:pt idx="356">
                  <c:v>45</c:v>
                </c:pt>
                <c:pt idx="357">
                  <c:v>34</c:v>
                </c:pt>
                <c:pt idx="358">
                  <c:v>77</c:v>
                </c:pt>
                <c:pt idx="359">
                  <c:v>38</c:v>
                </c:pt>
                <c:pt idx="360">
                  <c:v>72</c:v>
                </c:pt>
                <c:pt idx="361">
                  <c:v>49</c:v>
                </c:pt>
                <c:pt idx="362">
                  <c:v>62</c:v>
                </c:pt>
                <c:pt idx="363">
                  <c:v>71</c:v>
                </c:pt>
                <c:pt idx="364">
                  <c:v>47</c:v>
                </c:pt>
              </c:numCache>
            </c:numRef>
          </c:xVal>
          <c:yVal>
            <c:numRef>
              <c:f>[1]Sheet1!$C$2:$C$366</c:f>
              <c:numCache>
                <c:formatCode>General</c:formatCode>
                <c:ptCount val="365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4</c:v>
                </c:pt>
                <c:pt idx="6">
                  <c:v>7</c:v>
                </c:pt>
                <c:pt idx="7">
                  <c:v>4</c:v>
                </c:pt>
                <c:pt idx="8">
                  <c:v>9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  <c:pt idx="14">
                  <c:v>3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4</c:v>
                </c:pt>
                <c:pt idx="19">
                  <c:v>7</c:v>
                </c:pt>
                <c:pt idx="20">
                  <c:v>3</c:v>
                </c:pt>
                <c:pt idx="21">
                  <c:v>4</c:v>
                </c:pt>
                <c:pt idx="22">
                  <c:v>7</c:v>
                </c:pt>
                <c:pt idx="23">
                  <c:v>6</c:v>
                </c:pt>
                <c:pt idx="24">
                  <c:v>7</c:v>
                </c:pt>
                <c:pt idx="25">
                  <c:v>4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5</c:v>
                </c:pt>
                <c:pt idx="30">
                  <c:v>4</c:v>
                </c:pt>
                <c:pt idx="31">
                  <c:v>6</c:v>
                </c:pt>
                <c:pt idx="32">
                  <c:v>6</c:v>
                </c:pt>
                <c:pt idx="33">
                  <c:v>5</c:v>
                </c:pt>
                <c:pt idx="34">
                  <c:v>5</c:v>
                </c:pt>
                <c:pt idx="35">
                  <c:v>9</c:v>
                </c:pt>
                <c:pt idx="36">
                  <c:v>7</c:v>
                </c:pt>
                <c:pt idx="37">
                  <c:v>7</c:v>
                </c:pt>
                <c:pt idx="38">
                  <c:v>4</c:v>
                </c:pt>
                <c:pt idx="39">
                  <c:v>4</c:v>
                </c:pt>
                <c:pt idx="40">
                  <c:v>5</c:v>
                </c:pt>
                <c:pt idx="41">
                  <c:v>8</c:v>
                </c:pt>
                <c:pt idx="42">
                  <c:v>5</c:v>
                </c:pt>
                <c:pt idx="43">
                  <c:v>5</c:v>
                </c:pt>
                <c:pt idx="44">
                  <c:v>8</c:v>
                </c:pt>
                <c:pt idx="45">
                  <c:v>3</c:v>
                </c:pt>
                <c:pt idx="46">
                  <c:v>8</c:v>
                </c:pt>
                <c:pt idx="47">
                  <c:v>7</c:v>
                </c:pt>
                <c:pt idx="48">
                  <c:v>7</c:v>
                </c:pt>
                <c:pt idx="49">
                  <c:v>4</c:v>
                </c:pt>
                <c:pt idx="50">
                  <c:v>7</c:v>
                </c:pt>
                <c:pt idx="51">
                  <c:v>7</c:v>
                </c:pt>
                <c:pt idx="52">
                  <c:v>8</c:v>
                </c:pt>
                <c:pt idx="53">
                  <c:v>5</c:v>
                </c:pt>
                <c:pt idx="54">
                  <c:v>9</c:v>
                </c:pt>
                <c:pt idx="55">
                  <c:v>4</c:v>
                </c:pt>
                <c:pt idx="56">
                  <c:v>7</c:v>
                </c:pt>
                <c:pt idx="57">
                  <c:v>7</c:v>
                </c:pt>
                <c:pt idx="58">
                  <c:v>3</c:v>
                </c:pt>
                <c:pt idx="59">
                  <c:v>4</c:v>
                </c:pt>
                <c:pt idx="60">
                  <c:v>6</c:v>
                </c:pt>
                <c:pt idx="61">
                  <c:v>6</c:v>
                </c:pt>
                <c:pt idx="62">
                  <c:v>4</c:v>
                </c:pt>
                <c:pt idx="63">
                  <c:v>8</c:v>
                </c:pt>
                <c:pt idx="64">
                  <c:v>6</c:v>
                </c:pt>
                <c:pt idx="65">
                  <c:v>5</c:v>
                </c:pt>
                <c:pt idx="66">
                  <c:v>9</c:v>
                </c:pt>
                <c:pt idx="67">
                  <c:v>7</c:v>
                </c:pt>
                <c:pt idx="68">
                  <c:v>5</c:v>
                </c:pt>
                <c:pt idx="69">
                  <c:v>5</c:v>
                </c:pt>
                <c:pt idx="70">
                  <c:v>7</c:v>
                </c:pt>
                <c:pt idx="71">
                  <c:v>4</c:v>
                </c:pt>
                <c:pt idx="72">
                  <c:v>5</c:v>
                </c:pt>
                <c:pt idx="73">
                  <c:v>8</c:v>
                </c:pt>
                <c:pt idx="74">
                  <c:v>4</c:v>
                </c:pt>
                <c:pt idx="75">
                  <c:v>4</c:v>
                </c:pt>
                <c:pt idx="76">
                  <c:v>7</c:v>
                </c:pt>
                <c:pt idx="77">
                  <c:v>4</c:v>
                </c:pt>
                <c:pt idx="78">
                  <c:v>4</c:v>
                </c:pt>
                <c:pt idx="79">
                  <c:v>6</c:v>
                </c:pt>
                <c:pt idx="80">
                  <c:v>4</c:v>
                </c:pt>
                <c:pt idx="81">
                  <c:v>8</c:v>
                </c:pt>
                <c:pt idx="82">
                  <c:v>9</c:v>
                </c:pt>
                <c:pt idx="83">
                  <c:v>3</c:v>
                </c:pt>
                <c:pt idx="84">
                  <c:v>5</c:v>
                </c:pt>
                <c:pt idx="85">
                  <c:v>7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9</c:v>
                </c:pt>
                <c:pt idx="90">
                  <c:v>5</c:v>
                </c:pt>
                <c:pt idx="91">
                  <c:v>9</c:v>
                </c:pt>
                <c:pt idx="92">
                  <c:v>7</c:v>
                </c:pt>
                <c:pt idx="93">
                  <c:v>5</c:v>
                </c:pt>
                <c:pt idx="94">
                  <c:v>5</c:v>
                </c:pt>
                <c:pt idx="95">
                  <c:v>6</c:v>
                </c:pt>
                <c:pt idx="96">
                  <c:v>5</c:v>
                </c:pt>
                <c:pt idx="97">
                  <c:v>4</c:v>
                </c:pt>
                <c:pt idx="98">
                  <c:v>7</c:v>
                </c:pt>
                <c:pt idx="99">
                  <c:v>9</c:v>
                </c:pt>
                <c:pt idx="100">
                  <c:v>5</c:v>
                </c:pt>
                <c:pt idx="101">
                  <c:v>3</c:v>
                </c:pt>
                <c:pt idx="102">
                  <c:v>5</c:v>
                </c:pt>
                <c:pt idx="103">
                  <c:v>7</c:v>
                </c:pt>
                <c:pt idx="104">
                  <c:v>7</c:v>
                </c:pt>
                <c:pt idx="105">
                  <c:v>8</c:v>
                </c:pt>
                <c:pt idx="106">
                  <c:v>7</c:v>
                </c:pt>
                <c:pt idx="107">
                  <c:v>4</c:v>
                </c:pt>
                <c:pt idx="108">
                  <c:v>8</c:v>
                </c:pt>
                <c:pt idx="109">
                  <c:v>8</c:v>
                </c:pt>
                <c:pt idx="110">
                  <c:v>4</c:v>
                </c:pt>
                <c:pt idx="111">
                  <c:v>8</c:v>
                </c:pt>
                <c:pt idx="112">
                  <c:v>9</c:v>
                </c:pt>
                <c:pt idx="113">
                  <c:v>7</c:v>
                </c:pt>
                <c:pt idx="114">
                  <c:v>6</c:v>
                </c:pt>
                <c:pt idx="115">
                  <c:v>5</c:v>
                </c:pt>
                <c:pt idx="116">
                  <c:v>3</c:v>
                </c:pt>
                <c:pt idx="117">
                  <c:v>8</c:v>
                </c:pt>
                <c:pt idx="118">
                  <c:v>7</c:v>
                </c:pt>
                <c:pt idx="119">
                  <c:v>8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4</c:v>
                </c:pt>
                <c:pt idx="124">
                  <c:v>4</c:v>
                </c:pt>
                <c:pt idx="125">
                  <c:v>9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7</c:v>
                </c:pt>
                <c:pt idx="130">
                  <c:v>5</c:v>
                </c:pt>
                <c:pt idx="131">
                  <c:v>7</c:v>
                </c:pt>
                <c:pt idx="132">
                  <c:v>8</c:v>
                </c:pt>
                <c:pt idx="133">
                  <c:v>6</c:v>
                </c:pt>
                <c:pt idx="134">
                  <c:v>7</c:v>
                </c:pt>
                <c:pt idx="135">
                  <c:v>5</c:v>
                </c:pt>
                <c:pt idx="136">
                  <c:v>6</c:v>
                </c:pt>
                <c:pt idx="137">
                  <c:v>4</c:v>
                </c:pt>
                <c:pt idx="138">
                  <c:v>5</c:v>
                </c:pt>
                <c:pt idx="139">
                  <c:v>5</c:v>
                </c:pt>
                <c:pt idx="140">
                  <c:v>6</c:v>
                </c:pt>
                <c:pt idx="141">
                  <c:v>8</c:v>
                </c:pt>
                <c:pt idx="142">
                  <c:v>8</c:v>
                </c:pt>
                <c:pt idx="143">
                  <c:v>6</c:v>
                </c:pt>
                <c:pt idx="144">
                  <c:v>6</c:v>
                </c:pt>
                <c:pt idx="145">
                  <c:v>5</c:v>
                </c:pt>
                <c:pt idx="146">
                  <c:v>5</c:v>
                </c:pt>
                <c:pt idx="147">
                  <c:v>4</c:v>
                </c:pt>
                <c:pt idx="148">
                  <c:v>7</c:v>
                </c:pt>
                <c:pt idx="149">
                  <c:v>8</c:v>
                </c:pt>
                <c:pt idx="150">
                  <c:v>4</c:v>
                </c:pt>
                <c:pt idx="151">
                  <c:v>6</c:v>
                </c:pt>
                <c:pt idx="152">
                  <c:v>5</c:v>
                </c:pt>
                <c:pt idx="153">
                  <c:v>7</c:v>
                </c:pt>
                <c:pt idx="154">
                  <c:v>5</c:v>
                </c:pt>
                <c:pt idx="155">
                  <c:v>7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7</c:v>
                </c:pt>
                <c:pt idx="160">
                  <c:v>5</c:v>
                </c:pt>
                <c:pt idx="161">
                  <c:v>7</c:v>
                </c:pt>
                <c:pt idx="162">
                  <c:v>6</c:v>
                </c:pt>
                <c:pt idx="163">
                  <c:v>8</c:v>
                </c:pt>
                <c:pt idx="164">
                  <c:v>4</c:v>
                </c:pt>
                <c:pt idx="165">
                  <c:v>4</c:v>
                </c:pt>
                <c:pt idx="166">
                  <c:v>9</c:v>
                </c:pt>
                <c:pt idx="167">
                  <c:v>8</c:v>
                </c:pt>
                <c:pt idx="168">
                  <c:v>7</c:v>
                </c:pt>
                <c:pt idx="169">
                  <c:v>9</c:v>
                </c:pt>
                <c:pt idx="170">
                  <c:v>6</c:v>
                </c:pt>
                <c:pt idx="171">
                  <c:v>8</c:v>
                </c:pt>
                <c:pt idx="172">
                  <c:v>6</c:v>
                </c:pt>
                <c:pt idx="173">
                  <c:v>5</c:v>
                </c:pt>
                <c:pt idx="174">
                  <c:v>7</c:v>
                </c:pt>
                <c:pt idx="175">
                  <c:v>5</c:v>
                </c:pt>
                <c:pt idx="176">
                  <c:v>4</c:v>
                </c:pt>
                <c:pt idx="177">
                  <c:v>9</c:v>
                </c:pt>
                <c:pt idx="178">
                  <c:v>5</c:v>
                </c:pt>
                <c:pt idx="179">
                  <c:v>7</c:v>
                </c:pt>
                <c:pt idx="180">
                  <c:v>6</c:v>
                </c:pt>
                <c:pt idx="181">
                  <c:v>7</c:v>
                </c:pt>
                <c:pt idx="182">
                  <c:v>8</c:v>
                </c:pt>
                <c:pt idx="183">
                  <c:v>6</c:v>
                </c:pt>
                <c:pt idx="184">
                  <c:v>6</c:v>
                </c:pt>
                <c:pt idx="185">
                  <c:v>7</c:v>
                </c:pt>
                <c:pt idx="186">
                  <c:v>6</c:v>
                </c:pt>
                <c:pt idx="187">
                  <c:v>8</c:v>
                </c:pt>
                <c:pt idx="188">
                  <c:v>5</c:v>
                </c:pt>
                <c:pt idx="189">
                  <c:v>7</c:v>
                </c:pt>
                <c:pt idx="190">
                  <c:v>4</c:v>
                </c:pt>
                <c:pt idx="191">
                  <c:v>8</c:v>
                </c:pt>
                <c:pt idx="192">
                  <c:v>7</c:v>
                </c:pt>
                <c:pt idx="193">
                  <c:v>3</c:v>
                </c:pt>
                <c:pt idx="194">
                  <c:v>5</c:v>
                </c:pt>
                <c:pt idx="195">
                  <c:v>4</c:v>
                </c:pt>
                <c:pt idx="196">
                  <c:v>7</c:v>
                </c:pt>
                <c:pt idx="197">
                  <c:v>6</c:v>
                </c:pt>
                <c:pt idx="198">
                  <c:v>9</c:v>
                </c:pt>
                <c:pt idx="199">
                  <c:v>7</c:v>
                </c:pt>
                <c:pt idx="200">
                  <c:v>4</c:v>
                </c:pt>
                <c:pt idx="201">
                  <c:v>5</c:v>
                </c:pt>
                <c:pt idx="202">
                  <c:v>5</c:v>
                </c:pt>
                <c:pt idx="203">
                  <c:v>6</c:v>
                </c:pt>
                <c:pt idx="204">
                  <c:v>8</c:v>
                </c:pt>
                <c:pt idx="205">
                  <c:v>6</c:v>
                </c:pt>
                <c:pt idx="206">
                  <c:v>7</c:v>
                </c:pt>
                <c:pt idx="207">
                  <c:v>7</c:v>
                </c:pt>
                <c:pt idx="208">
                  <c:v>9</c:v>
                </c:pt>
                <c:pt idx="209">
                  <c:v>3</c:v>
                </c:pt>
                <c:pt idx="210">
                  <c:v>8</c:v>
                </c:pt>
                <c:pt idx="211">
                  <c:v>8</c:v>
                </c:pt>
                <c:pt idx="212">
                  <c:v>6</c:v>
                </c:pt>
                <c:pt idx="213">
                  <c:v>8</c:v>
                </c:pt>
                <c:pt idx="214">
                  <c:v>6</c:v>
                </c:pt>
                <c:pt idx="215">
                  <c:v>5</c:v>
                </c:pt>
                <c:pt idx="216">
                  <c:v>3</c:v>
                </c:pt>
                <c:pt idx="217">
                  <c:v>9</c:v>
                </c:pt>
                <c:pt idx="218">
                  <c:v>7</c:v>
                </c:pt>
                <c:pt idx="219">
                  <c:v>7</c:v>
                </c:pt>
                <c:pt idx="220">
                  <c:v>3</c:v>
                </c:pt>
                <c:pt idx="221">
                  <c:v>5</c:v>
                </c:pt>
                <c:pt idx="222">
                  <c:v>3</c:v>
                </c:pt>
                <c:pt idx="223">
                  <c:v>6</c:v>
                </c:pt>
                <c:pt idx="224">
                  <c:v>8</c:v>
                </c:pt>
                <c:pt idx="225">
                  <c:v>5</c:v>
                </c:pt>
                <c:pt idx="226">
                  <c:v>3</c:v>
                </c:pt>
                <c:pt idx="227">
                  <c:v>9</c:v>
                </c:pt>
                <c:pt idx="228">
                  <c:v>7</c:v>
                </c:pt>
                <c:pt idx="229">
                  <c:v>6</c:v>
                </c:pt>
                <c:pt idx="230">
                  <c:v>5</c:v>
                </c:pt>
                <c:pt idx="231">
                  <c:v>4</c:v>
                </c:pt>
                <c:pt idx="232">
                  <c:v>4</c:v>
                </c:pt>
                <c:pt idx="233">
                  <c:v>7</c:v>
                </c:pt>
                <c:pt idx="234">
                  <c:v>6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8</c:v>
                </c:pt>
                <c:pt idx="240">
                  <c:v>6</c:v>
                </c:pt>
                <c:pt idx="241">
                  <c:v>3</c:v>
                </c:pt>
                <c:pt idx="242">
                  <c:v>6</c:v>
                </c:pt>
                <c:pt idx="243">
                  <c:v>9</c:v>
                </c:pt>
                <c:pt idx="244">
                  <c:v>7</c:v>
                </c:pt>
                <c:pt idx="245">
                  <c:v>8</c:v>
                </c:pt>
                <c:pt idx="246">
                  <c:v>7</c:v>
                </c:pt>
                <c:pt idx="247">
                  <c:v>5</c:v>
                </c:pt>
                <c:pt idx="248">
                  <c:v>7</c:v>
                </c:pt>
                <c:pt idx="249">
                  <c:v>4</c:v>
                </c:pt>
                <c:pt idx="250">
                  <c:v>3</c:v>
                </c:pt>
                <c:pt idx="251">
                  <c:v>9</c:v>
                </c:pt>
                <c:pt idx="252">
                  <c:v>7</c:v>
                </c:pt>
                <c:pt idx="253">
                  <c:v>8</c:v>
                </c:pt>
                <c:pt idx="254">
                  <c:v>6</c:v>
                </c:pt>
                <c:pt idx="255">
                  <c:v>4</c:v>
                </c:pt>
                <c:pt idx="256">
                  <c:v>5</c:v>
                </c:pt>
                <c:pt idx="257">
                  <c:v>4</c:v>
                </c:pt>
                <c:pt idx="258">
                  <c:v>8</c:v>
                </c:pt>
                <c:pt idx="259">
                  <c:v>5</c:v>
                </c:pt>
                <c:pt idx="260">
                  <c:v>7</c:v>
                </c:pt>
                <c:pt idx="261">
                  <c:v>6</c:v>
                </c:pt>
                <c:pt idx="262">
                  <c:v>5</c:v>
                </c:pt>
                <c:pt idx="263">
                  <c:v>7</c:v>
                </c:pt>
                <c:pt idx="264">
                  <c:v>8</c:v>
                </c:pt>
                <c:pt idx="265">
                  <c:v>6</c:v>
                </c:pt>
                <c:pt idx="266">
                  <c:v>9</c:v>
                </c:pt>
                <c:pt idx="267">
                  <c:v>5</c:v>
                </c:pt>
                <c:pt idx="268">
                  <c:v>8</c:v>
                </c:pt>
                <c:pt idx="269">
                  <c:v>4</c:v>
                </c:pt>
                <c:pt idx="270">
                  <c:v>6</c:v>
                </c:pt>
                <c:pt idx="271">
                  <c:v>4</c:v>
                </c:pt>
                <c:pt idx="272">
                  <c:v>6</c:v>
                </c:pt>
                <c:pt idx="273">
                  <c:v>6</c:v>
                </c:pt>
                <c:pt idx="274">
                  <c:v>7</c:v>
                </c:pt>
                <c:pt idx="275">
                  <c:v>7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6</c:v>
                </c:pt>
                <c:pt idx="280">
                  <c:v>7</c:v>
                </c:pt>
                <c:pt idx="281">
                  <c:v>5</c:v>
                </c:pt>
                <c:pt idx="282">
                  <c:v>6</c:v>
                </c:pt>
                <c:pt idx="283">
                  <c:v>6</c:v>
                </c:pt>
                <c:pt idx="284">
                  <c:v>4</c:v>
                </c:pt>
                <c:pt idx="285">
                  <c:v>6</c:v>
                </c:pt>
                <c:pt idx="286">
                  <c:v>8</c:v>
                </c:pt>
                <c:pt idx="287">
                  <c:v>4</c:v>
                </c:pt>
                <c:pt idx="288">
                  <c:v>8</c:v>
                </c:pt>
                <c:pt idx="289">
                  <c:v>7</c:v>
                </c:pt>
                <c:pt idx="290">
                  <c:v>3</c:v>
                </c:pt>
                <c:pt idx="291">
                  <c:v>5</c:v>
                </c:pt>
                <c:pt idx="292">
                  <c:v>5</c:v>
                </c:pt>
                <c:pt idx="293">
                  <c:v>7</c:v>
                </c:pt>
                <c:pt idx="294">
                  <c:v>5</c:v>
                </c:pt>
                <c:pt idx="295">
                  <c:v>6</c:v>
                </c:pt>
                <c:pt idx="296">
                  <c:v>6</c:v>
                </c:pt>
                <c:pt idx="297">
                  <c:v>8</c:v>
                </c:pt>
                <c:pt idx="298">
                  <c:v>8</c:v>
                </c:pt>
                <c:pt idx="299">
                  <c:v>7</c:v>
                </c:pt>
                <c:pt idx="300">
                  <c:v>4</c:v>
                </c:pt>
                <c:pt idx="301">
                  <c:v>7</c:v>
                </c:pt>
                <c:pt idx="302">
                  <c:v>6</c:v>
                </c:pt>
                <c:pt idx="303">
                  <c:v>5</c:v>
                </c:pt>
                <c:pt idx="304">
                  <c:v>8</c:v>
                </c:pt>
                <c:pt idx="305">
                  <c:v>6</c:v>
                </c:pt>
                <c:pt idx="306">
                  <c:v>4</c:v>
                </c:pt>
                <c:pt idx="307">
                  <c:v>6</c:v>
                </c:pt>
                <c:pt idx="308">
                  <c:v>3</c:v>
                </c:pt>
                <c:pt idx="309">
                  <c:v>8</c:v>
                </c:pt>
                <c:pt idx="310">
                  <c:v>9</c:v>
                </c:pt>
                <c:pt idx="311">
                  <c:v>5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5</c:v>
                </c:pt>
                <c:pt idx="317">
                  <c:v>6</c:v>
                </c:pt>
                <c:pt idx="318">
                  <c:v>7</c:v>
                </c:pt>
                <c:pt idx="319">
                  <c:v>6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5</c:v>
                </c:pt>
                <c:pt idx="324">
                  <c:v>5</c:v>
                </c:pt>
                <c:pt idx="325">
                  <c:v>6</c:v>
                </c:pt>
                <c:pt idx="326">
                  <c:v>8</c:v>
                </c:pt>
                <c:pt idx="327">
                  <c:v>7</c:v>
                </c:pt>
                <c:pt idx="328">
                  <c:v>5</c:v>
                </c:pt>
                <c:pt idx="329">
                  <c:v>5</c:v>
                </c:pt>
                <c:pt idx="330">
                  <c:v>8</c:v>
                </c:pt>
                <c:pt idx="331">
                  <c:v>3</c:v>
                </c:pt>
                <c:pt idx="332">
                  <c:v>7</c:v>
                </c:pt>
                <c:pt idx="333">
                  <c:v>5</c:v>
                </c:pt>
                <c:pt idx="334">
                  <c:v>5</c:v>
                </c:pt>
                <c:pt idx="335">
                  <c:v>3</c:v>
                </c:pt>
                <c:pt idx="336">
                  <c:v>6</c:v>
                </c:pt>
                <c:pt idx="337">
                  <c:v>5</c:v>
                </c:pt>
                <c:pt idx="338">
                  <c:v>9</c:v>
                </c:pt>
                <c:pt idx="339">
                  <c:v>6</c:v>
                </c:pt>
                <c:pt idx="340">
                  <c:v>5</c:v>
                </c:pt>
                <c:pt idx="341">
                  <c:v>3</c:v>
                </c:pt>
                <c:pt idx="342">
                  <c:v>7</c:v>
                </c:pt>
                <c:pt idx="343">
                  <c:v>4</c:v>
                </c:pt>
                <c:pt idx="344">
                  <c:v>5</c:v>
                </c:pt>
                <c:pt idx="345">
                  <c:v>4</c:v>
                </c:pt>
                <c:pt idx="346">
                  <c:v>7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6</c:v>
                </c:pt>
                <c:pt idx="351">
                  <c:v>5</c:v>
                </c:pt>
                <c:pt idx="352">
                  <c:v>7</c:v>
                </c:pt>
                <c:pt idx="353">
                  <c:v>7</c:v>
                </c:pt>
                <c:pt idx="354">
                  <c:v>3</c:v>
                </c:pt>
                <c:pt idx="355">
                  <c:v>8</c:v>
                </c:pt>
                <c:pt idx="356">
                  <c:v>3</c:v>
                </c:pt>
                <c:pt idx="357">
                  <c:v>6</c:v>
                </c:pt>
                <c:pt idx="358">
                  <c:v>5</c:v>
                </c:pt>
                <c:pt idx="359">
                  <c:v>7</c:v>
                </c:pt>
                <c:pt idx="360">
                  <c:v>9</c:v>
                </c:pt>
                <c:pt idx="361">
                  <c:v>6</c:v>
                </c:pt>
                <c:pt idx="362">
                  <c:v>6</c:v>
                </c:pt>
                <c:pt idx="363">
                  <c:v>6</c:v>
                </c:pt>
                <c:pt idx="364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C2-4149-B51E-F03207AD5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93167"/>
        <c:axId val="1522125089"/>
      </c:scatterChart>
      <c:valAx>
        <c:axId val="1042931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US" b="0">
                    <a:solidFill>
                      <a:srgbClr val="000000"/>
                    </a:solidFill>
                    <a:latin typeface="+mn-lt"/>
                  </a:rPr>
                  <a:t>AdWords Ad Clicks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522125089"/>
        <c:crosses val="autoZero"/>
        <c:crossBetween val="midCat"/>
      </c:valAx>
      <c:valAx>
        <c:axId val="1522125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US" b="0">
                    <a:solidFill>
                      <a:srgbClr val="000000"/>
                    </a:solidFill>
                    <a:latin typeface="+mn-lt"/>
                  </a:rPr>
                  <a:t>AdWords Ad Conversions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0429316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365760</xdr:colOff>
      <xdr:row>1</xdr:row>
      <xdr:rowOff>121920</xdr:rowOff>
    </xdr:from>
    <xdr:ext cx="5715000" cy="3533775"/>
    <xdr:graphicFrame macro="">
      <xdr:nvGraphicFramePr>
        <xdr:cNvPr id="3" name="Chart 3" title="Gráfico">
          <a:extLst>
            <a:ext uri="{FF2B5EF4-FFF2-40B4-BE49-F238E27FC236}">
              <a16:creationId xmlns:a16="http://schemas.microsoft.com/office/drawing/2014/main" id="{C3CEF517-0232-4F2E-B429-6AC1D2DAD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uhe\Desktop\Proyectos%20Data\Marketing%20Conversion%20-%20analysis\data\Capstone%20Dataset.xlsx" TargetMode="External"/><Relationship Id="rId1" Type="http://schemas.openxmlformats.org/officeDocument/2006/relationships/externalLinkPath" Target="data/Capstone%20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stone Dataset"/>
      <sheetName val="Sheet1"/>
      <sheetName val="Graficos"/>
    </sheetNames>
    <sheetDataSet>
      <sheetData sheetId="0"/>
      <sheetData sheetId="1">
        <row r="1">
          <cell r="C1" t="str">
            <v>AdWords Ad Conversions</v>
          </cell>
        </row>
        <row r="2">
          <cell r="B2">
            <v>59</v>
          </cell>
          <cell r="C2">
            <v>5</v>
          </cell>
        </row>
        <row r="3">
          <cell r="B3">
            <v>71</v>
          </cell>
          <cell r="C3">
            <v>6</v>
          </cell>
        </row>
        <row r="4">
          <cell r="B4">
            <v>44</v>
          </cell>
          <cell r="C4">
            <v>4</v>
          </cell>
        </row>
        <row r="5">
          <cell r="B5">
            <v>49</v>
          </cell>
          <cell r="C5">
            <v>5</v>
          </cell>
        </row>
        <row r="6">
          <cell r="B6">
            <v>55</v>
          </cell>
          <cell r="C6">
            <v>7</v>
          </cell>
        </row>
        <row r="7">
          <cell r="B7">
            <v>51</v>
          </cell>
          <cell r="C7">
            <v>4</v>
          </cell>
        </row>
        <row r="8">
          <cell r="B8">
            <v>66</v>
          </cell>
          <cell r="C8">
            <v>7</v>
          </cell>
        </row>
        <row r="9">
          <cell r="B9">
            <v>69</v>
          </cell>
          <cell r="C9">
            <v>4</v>
          </cell>
        </row>
        <row r="10">
          <cell r="B10">
            <v>82</v>
          </cell>
          <cell r="C10">
            <v>9</v>
          </cell>
        </row>
        <row r="11">
          <cell r="B11">
            <v>48</v>
          </cell>
          <cell r="C11">
            <v>5</v>
          </cell>
        </row>
        <row r="12">
          <cell r="B12">
            <v>58</v>
          </cell>
          <cell r="C12">
            <v>7</v>
          </cell>
        </row>
        <row r="13">
          <cell r="B13">
            <v>68</v>
          </cell>
          <cell r="C13">
            <v>8</v>
          </cell>
        </row>
        <row r="14">
          <cell r="B14">
            <v>83</v>
          </cell>
          <cell r="C14">
            <v>7</v>
          </cell>
        </row>
        <row r="15">
          <cell r="B15">
            <v>78</v>
          </cell>
          <cell r="C15">
            <v>9</v>
          </cell>
        </row>
        <row r="16">
          <cell r="B16">
            <v>36</v>
          </cell>
          <cell r="C16">
            <v>3</v>
          </cell>
        </row>
        <row r="17">
          <cell r="B17">
            <v>48</v>
          </cell>
          <cell r="C17">
            <v>6</v>
          </cell>
        </row>
        <row r="18">
          <cell r="B18">
            <v>52</v>
          </cell>
          <cell r="C18">
            <v>5</v>
          </cell>
        </row>
        <row r="19">
          <cell r="B19">
            <v>49</v>
          </cell>
          <cell r="C19">
            <v>6</v>
          </cell>
        </row>
        <row r="20">
          <cell r="B20">
            <v>68</v>
          </cell>
          <cell r="C20">
            <v>4</v>
          </cell>
        </row>
        <row r="21">
          <cell r="B21">
            <v>81</v>
          </cell>
          <cell r="C21">
            <v>7</v>
          </cell>
        </row>
        <row r="22">
          <cell r="B22">
            <v>49</v>
          </cell>
          <cell r="C22">
            <v>3</v>
          </cell>
        </row>
        <row r="23">
          <cell r="B23">
            <v>43</v>
          </cell>
          <cell r="C23">
            <v>4</v>
          </cell>
        </row>
        <row r="24">
          <cell r="B24">
            <v>63</v>
          </cell>
          <cell r="C24">
            <v>7</v>
          </cell>
        </row>
        <row r="25">
          <cell r="B25">
            <v>80</v>
          </cell>
          <cell r="C25">
            <v>6</v>
          </cell>
        </row>
        <row r="26">
          <cell r="B26">
            <v>50</v>
          </cell>
          <cell r="C26">
            <v>7</v>
          </cell>
        </row>
        <row r="27">
          <cell r="B27">
            <v>53</v>
          </cell>
          <cell r="C27">
            <v>4</v>
          </cell>
        </row>
        <row r="28">
          <cell r="B28">
            <v>77</v>
          </cell>
          <cell r="C28">
            <v>6</v>
          </cell>
        </row>
        <row r="29">
          <cell r="B29">
            <v>44</v>
          </cell>
          <cell r="C29">
            <v>7</v>
          </cell>
        </row>
        <row r="30">
          <cell r="B30">
            <v>78</v>
          </cell>
          <cell r="C30">
            <v>8</v>
          </cell>
        </row>
        <row r="31">
          <cell r="B31">
            <v>42</v>
          </cell>
          <cell r="C31">
            <v>5</v>
          </cell>
        </row>
        <row r="32">
          <cell r="B32">
            <v>50</v>
          </cell>
          <cell r="C32">
            <v>4</v>
          </cell>
        </row>
        <row r="33">
          <cell r="B33">
            <v>72</v>
          </cell>
          <cell r="C33">
            <v>6</v>
          </cell>
        </row>
        <row r="34">
          <cell r="B34">
            <v>76</v>
          </cell>
          <cell r="C34">
            <v>6</v>
          </cell>
        </row>
        <row r="35">
          <cell r="B35">
            <v>41</v>
          </cell>
          <cell r="C35">
            <v>5</v>
          </cell>
        </row>
        <row r="36">
          <cell r="B36">
            <v>49</v>
          </cell>
          <cell r="C36">
            <v>5</v>
          </cell>
        </row>
        <row r="37">
          <cell r="B37">
            <v>78</v>
          </cell>
          <cell r="C37">
            <v>9</v>
          </cell>
        </row>
        <row r="38">
          <cell r="B38">
            <v>69</v>
          </cell>
          <cell r="C38">
            <v>7</v>
          </cell>
        </row>
        <row r="39">
          <cell r="B39">
            <v>58</v>
          </cell>
          <cell r="C39">
            <v>7</v>
          </cell>
        </row>
        <row r="40">
          <cell r="B40">
            <v>48</v>
          </cell>
          <cell r="C40">
            <v>4</v>
          </cell>
        </row>
        <row r="41">
          <cell r="B41">
            <v>44</v>
          </cell>
          <cell r="C41">
            <v>4</v>
          </cell>
        </row>
        <row r="42">
          <cell r="B42">
            <v>43</v>
          </cell>
          <cell r="C42">
            <v>5</v>
          </cell>
        </row>
        <row r="43">
          <cell r="B43">
            <v>71</v>
          </cell>
          <cell r="C43">
            <v>8</v>
          </cell>
        </row>
        <row r="44">
          <cell r="B44">
            <v>74</v>
          </cell>
          <cell r="C44">
            <v>5</v>
          </cell>
        </row>
        <row r="45">
          <cell r="B45">
            <v>74</v>
          </cell>
          <cell r="C45">
            <v>5</v>
          </cell>
        </row>
        <row r="46">
          <cell r="B46">
            <v>80</v>
          </cell>
          <cell r="C46">
            <v>8</v>
          </cell>
        </row>
        <row r="47">
          <cell r="B47">
            <v>40</v>
          </cell>
          <cell r="C47">
            <v>3</v>
          </cell>
        </row>
        <row r="48">
          <cell r="B48">
            <v>63</v>
          </cell>
          <cell r="C48">
            <v>8</v>
          </cell>
        </row>
        <row r="49">
          <cell r="B49">
            <v>36</v>
          </cell>
          <cell r="C49">
            <v>7</v>
          </cell>
        </row>
        <row r="50">
          <cell r="B50">
            <v>74</v>
          </cell>
          <cell r="C50">
            <v>7</v>
          </cell>
        </row>
        <row r="51">
          <cell r="B51">
            <v>62</v>
          </cell>
          <cell r="C51">
            <v>4</v>
          </cell>
        </row>
        <row r="52">
          <cell r="B52">
            <v>67</v>
          </cell>
          <cell r="C52">
            <v>7</v>
          </cell>
        </row>
        <row r="53">
          <cell r="B53">
            <v>64</v>
          </cell>
          <cell r="C53">
            <v>7</v>
          </cell>
        </row>
        <row r="54">
          <cell r="B54">
            <v>61</v>
          </cell>
          <cell r="C54">
            <v>8</v>
          </cell>
        </row>
        <row r="55">
          <cell r="B55">
            <v>74</v>
          </cell>
          <cell r="C55">
            <v>5</v>
          </cell>
        </row>
        <row r="56">
          <cell r="B56">
            <v>71</v>
          </cell>
          <cell r="C56">
            <v>9</v>
          </cell>
        </row>
        <row r="57">
          <cell r="B57">
            <v>52</v>
          </cell>
          <cell r="C57">
            <v>4</v>
          </cell>
        </row>
        <row r="58">
          <cell r="B58">
            <v>66</v>
          </cell>
          <cell r="C58">
            <v>7</v>
          </cell>
        </row>
        <row r="59">
          <cell r="B59">
            <v>47</v>
          </cell>
          <cell r="C59">
            <v>7</v>
          </cell>
        </row>
        <row r="60">
          <cell r="B60">
            <v>32</v>
          </cell>
          <cell r="C60">
            <v>3</v>
          </cell>
        </row>
        <row r="61">
          <cell r="B61">
            <v>68</v>
          </cell>
          <cell r="C61">
            <v>4</v>
          </cell>
        </row>
        <row r="62">
          <cell r="B62">
            <v>51</v>
          </cell>
          <cell r="C62">
            <v>6</v>
          </cell>
        </row>
        <row r="63">
          <cell r="B63">
            <v>42</v>
          </cell>
          <cell r="C63">
            <v>6</v>
          </cell>
        </row>
        <row r="64">
          <cell r="B64">
            <v>50</v>
          </cell>
          <cell r="C64">
            <v>4</v>
          </cell>
        </row>
        <row r="65">
          <cell r="B65">
            <v>56</v>
          </cell>
          <cell r="C65">
            <v>8</v>
          </cell>
        </row>
        <row r="66">
          <cell r="B66">
            <v>71</v>
          </cell>
          <cell r="C66">
            <v>6</v>
          </cell>
        </row>
        <row r="67">
          <cell r="B67">
            <v>33</v>
          </cell>
          <cell r="C67">
            <v>5</v>
          </cell>
        </row>
        <row r="68">
          <cell r="B68">
            <v>70</v>
          </cell>
          <cell r="C68">
            <v>9</v>
          </cell>
        </row>
        <row r="69">
          <cell r="B69">
            <v>33</v>
          </cell>
          <cell r="C69">
            <v>7</v>
          </cell>
        </row>
        <row r="70">
          <cell r="B70">
            <v>62</v>
          </cell>
          <cell r="C70">
            <v>5</v>
          </cell>
        </row>
        <row r="71">
          <cell r="B71">
            <v>87</v>
          </cell>
          <cell r="C71">
            <v>5</v>
          </cell>
        </row>
        <row r="72">
          <cell r="B72">
            <v>65</v>
          </cell>
          <cell r="C72">
            <v>7</v>
          </cell>
        </row>
        <row r="73">
          <cell r="B73">
            <v>60</v>
          </cell>
          <cell r="C73">
            <v>4</v>
          </cell>
        </row>
        <row r="74">
          <cell r="B74">
            <v>44</v>
          </cell>
          <cell r="C74">
            <v>5</v>
          </cell>
        </row>
        <row r="75">
          <cell r="B75">
            <v>66</v>
          </cell>
          <cell r="C75">
            <v>8</v>
          </cell>
        </row>
        <row r="76">
          <cell r="B76">
            <v>58</v>
          </cell>
          <cell r="C76">
            <v>4</v>
          </cell>
        </row>
        <row r="77">
          <cell r="B77">
            <v>54</v>
          </cell>
          <cell r="C77">
            <v>4</v>
          </cell>
        </row>
        <row r="78">
          <cell r="B78">
            <v>70</v>
          </cell>
          <cell r="C78">
            <v>7</v>
          </cell>
        </row>
        <row r="79">
          <cell r="B79">
            <v>45</v>
          </cell>
          <cell r="C79">
            <v>4</v>
          </cell>
        </row>
        <row r="80">
          <cell r="B80">
            <v>34</v>
          </cell>
          <cell r="C80">
            <v>4</v>
          </cell>
        </row>
        <row r="81">
          <cell r="B81">
            <v>41</v>
          </cell>
          <cell r="C81">
            <v>6</v>
          </cell>
        </row>
        <row r="82">
          <cell r="B82">
            <v>66</v>
          </cell>
          <cell r="C82">
            <v>4</v>
          </cell>
        </row>
        <row r="83">
          <cell r="B83">
            <v>55</v>
          </cell>
          <cell r="C83">
            <v>8</v>
          </cell>
        </row>
        <row r="84">
          <cell r="B84">
            <v>78</v>
          </cell>
          <cell r="C84">
            <v>9</v>
          </cell>
        </row>
        <row r="85">
          <cell r="B85">
            <v>41</v>
          </cell>
          <cell r="C85">
            <v>3</v>
          </cell>
        </row>
        <row r="86">
          <cell r="B86">
            <v>68</v>
          </cell>
          <cell r="C86">
            <v>5</v>
          </cell>
        </row>
        <row r="87">
          <cell r="B87">
            <v>74</v>
          </cell>
          <cell r="C87">
            <v>7</v>
          </cell>
        </row>
        <row r="88">
          <cell r="B88">
            <v>62</v>
          </cell>
          <cell r="C88">
            <v>5</v>
          </cell>
        </row>
        <row r="89">
          <cell r="B89">
            <v>40</v>
          </cell>
          <cell r="C89">
            <v>5</v>
          </cell>
        </row>
        <row r="90">
          <cell r="B90">
            <v>67</v>
          </cell>
          <cell r="C90">
            <v>5</v>
          </cell>
        </row>
        <row r="91">
          <cell r="B91">
            <v>79</v>
          </cell>
          <cell r="C91">
            <v>9</v>
          </cell>
        </row>
        <row r="92">
          <cell r="B92">
            <v>59</v>
          </cell>
          <cell r="C92">
            <v>5</v>
          </cell>
        </row>
        <row r="93">
          <cell r="B93">
            <v>73</v>
          </cell>
          <cell r="C93">
            <v>9</v>
          </cell>
        </row>
        <row r="94">
          <cell r="B94">
            <v>56</v>
          </cell>
          <cell r="C94">
            <v>7</v>
          </cell>
        </row>
        <row r="95">
          <cell r="B95">
            <v>82</v>
          </cell>
          <cell r="C95">
            <v>5</v>
          </cell>
        </row>
        <row r="96">
          <cell r="B96">
            <v>62</v>
          </cell>
          <cell r="C96">
            <v>5</v>
          </cell>
        </row>
        <row r="97">
          <cell r="B97">
            <v>76</v>
          </cell>
          <cell r="C97">
            <v>6</v>
          </cell>
        </row>
        <row r="98">
          <cell r="B98">
            <v>35</v>
          </cell>
          <cell r="C98">
            <v>5</v>
          </cell>
        </row>
        <row r="99">
          <cell r="B99">
            <v>61</v>
          </cell>
          <cell r="C99">
            <v>4</v>
          </cell>
        </row>
        <row r="100">
          <cell r="B100">
            <v>65</v>
          </cell>
          <cell r="C100">
            <v>7</v>
          </cell>
        </row>
        <row r="101">
          <cell r="B101">
            <v>83</v>
          </cell>
          <cell r="C101">
            <v>9</v>
          </cell>
        </row>
        <row r="102">
          <cell r="B102">
            <v>35</v>
          </cell>
          <cell r="C102">
            <v>5</v>
          </cell>
        </row>
        <row r="103">
          <cell r="B103">
            <v>44</v>
          </cell>
          <cell r="C103">
            <v>3</v>
          </cell>
        </row>
        <row r="104">
          <cell r="B104">
            <v>57</v>
          </cell>
          <cell r="C104">
            <v>5</v>
          </cell>
        </row>
        <row r="105">
          <cell r="B105">
            <v>76</v>
          </cell>
          <cell r="C105">
            <v>7</v>
          </cell>
        </row>
        <row r="106">
          <cell r="B106">
            <v>48</v>
          </cell>
          <cell r="C106">
            <v>7</v>
          </cell>
        </row>
        <row r="107">
          <cell r="B107">
            <v>62</v>
          </cell>
          <cell r="C107">
            <v>8</v>
          </cell>
        </row>
        <row r="108">
          <cell r="B108">
            <v>45</v>
          </cell>
          <cell r="C108">
            <v>7</v>
          </cell>
        </row>
        <row r="109">
          <cell r="B109">
            <v>34</v>
          </cell>
          <cell r="C109">
            <v>4</v>
          </cell>
        </row>
        <row r="110">
          <cell r="B110">
            <v>51</v>
          </cell>
          <cell r="C110">
            <v>8</v>
          </cell>
        </row>
        <row r="111">
          <cell r="B111">
            <v>85</v>
          </cell>
          <cell r="C111">
            <v>8</v>
          </cell>
        </row>
        <row r="112">
          <cell r="B112">
            <v>59</v>
          </cell>
          <cell r="C112">
            <v>4</v>
          </cell>
        </row>
        <row r="113">
          <cell r="B113">
            <v>67</v>
          </cell>
          <cell r="C113">
            <v>8</v>
          </cell>
        </row>
        <row r="114">
          <cell r="B114">
            <v>77</v>
          </cell>
          <cell r="C114">
            <v>9</v>
          </cell>
        </row>
        <row r="115">
          <cell r="B115">
            <v>60</v>
          </cell>
          <cell r="C115">
            <v>7</v>
          </cell>
        </row>
        <row r="116">
          <cell r="B116">
            <v>53</v>
          </cell>
          <cell r="C116">
            <v>6</v>
          </cell>
        </row>
        <row r="117">
          <cell r="B117">
            <v>84</v>
          </cell>
          <cell r="C117">
            <v>5</v>
          </cell>
        </row>
        <row r="118">
          <cell r="B118">
            <v>37</v>
          </cell>
          <cell r="C118">
            <v>3</v>
          </cell>
        </row>
        <row r="119">
          <cell r="B119">
            <v>67</v>
          </cell>
          <cell r="C119">
            <v>8</v>
          </cell>
        </row>
        <row r="120">
          <cell r="B120">
            <v>57</v>
          </cell>
          <cell r="C120">
            <v>7</v>
          </cell>
        </row>
        <row r="121">
          <cell r="B121">
            <v>83</v>
          </cell>
          <cell r="C121">
            <v>8</v>
          </cell>
        </row>
        <row r="122">
          <cell r="B122">
            <v>70</v>
          </cell>
          <cell r="C122">
            <v>5</v>
          </cell>
        </row>
        <row r="123">
          <cell r="B123">
            <v>67</v>
          </cell>
          <cell r="C123">
            <v>5</v>
          </cell>
        </row>
        <row r="124">
          <cell r="B124">
            <v>37</v>
          </cell>
          <cell r="C124">
            <v>5</v>
          </cell>
        </row>
        <row r="125">
          <cell r="B125">
            <v>58</v>
          </cell>
          <cell r="C125">
            <v>4</v>
          </cell>
        </row>
        <row r="126">
          <cell r="B126">
            <v>68</v>
          </cell>
          <cell r="C126">
            <v>4</v>
          </cell>
        </row>
        <row r="127">
          <cell r="B127">
            <v>72</v>
          </cell>
          <cell r="C127">
            <v>9</v>
          </cell>
        </row>
        <row r="128">
          <cell r="B128">
            <v>60</v>
          </cell>
          <cell r="C128">
            <v>5</v>
          </cell>
        </row>
        <row r="129">
          <cell r="B129">
            <v>41</v>
          </cell>
          <cell r="C129">
            <v>5</v>
          </cell>
        </row>
        <row r="130">
          <cell r="B130">
            <v>40</v>
          </cell>
          <cell r="C130">
            <v>5</v>
          </cell>
        </row>
        <row r="131">
          <cell r="B131">
            <v>49</v>
          </cell>
          <cell r="C131">
            <v>7</v>
          </cell>
        </row>
        <row r="132">
          <cell r="B132">
            <v>52</v>
          </cell>
          <cell r="C132">
            <v>5</v>
          </cell>
        </row>
        <row r="133">
          <cell r="B133">
            <v>78</v>
          </cell>
          <cell r="C133">
            <v>7</v>
          </cell>
        </row>
        <row r="134">
          <cell r="B134">
            <v>83</v>
          </cell>
          <cell r="C134">
            <v>8</v>
          </cell>
        </row>
        <row r="135">
          <cell r="B135">
            <v>38</v>
          </cell>
          <cell r="C135">
            <v>6</v>
          </cell>
        </row>
        <row r="136">
          <cell r="B136">
            <v>41</v>
          </cell>
          <cell r="C136">
            <v>7</v>
          </cell>
        </row>
        <row r="137">
          <cell r="B137">
            <v>72</v>
          </cell>
          <cell r="C137">
            <v>5</v>
          </cell>
        </row>
        <row r="138">
          <cell r="B138">
            <v>54</v>
          </cell>
          <cell r="C138">
            <v>6</v>
          </cell>
        </row>
        <row r="139">
          <cell r="B139">
            <v>36</v>
          </cell>
          <cell r="C139">
            <v>4</v>
          </cell>
        </row>
        <row r="140">
          <cell r="B140">
            <v>54</v>
          </cell>
          <cell r="C140">
            <v>5</v>
          </cell>
        </row>
        <row r="141">
          <cell r="B141">
            <v>55</v>
          </cell>
          <cell r="C141">
            <v>5</v>
          </cell>
        </row>
        <row r="142">
          <cell r="B142">
            <v>45</v>
          </cell>
          <cell r="C142">
            <v>6</v>
          </cell>
        </row>
        <row r="143">
          <cell r="B143">
            <v>83</v>
          </cell>
          <cell r="C143">
            <v>8</v>
          </cell>
        </row>
        <row r="144">
          <cell r="B144">
            <v>55</v>
          </cell>
          <cell r="C144">
            <v>8</v>
          </cell>
        </row>
        <row r="145">
          <cell r="B145">
            <v>41</v>
          </cell>
          <cell r="C145">
            <v>6</v>
          </cell>
        </row>
        <row r="146">
          <cell r="B146">
            <v>73</v>
          </cell>
          <cell r="C146">
            <v>6</v>
          </cell>
        </row>
        <row r="147">
          <cell r="B147">
            <v>77</v>
          </cell>
          <cell r="C147">
            <v>5</v>
          </cell>
        </row>
        <row r="148">
          <cell r="B148">
            <v>88</v>
          </cell>
          <cell r="C148">
            <v>5</v>
          </cell>
        </row>
        <row r="149">
          <cell r="B149">
            <v>63</v>
          </cell>
          <cell r="C149">
            <v>4</v>
          </cell>
        </row>
        <row r="150">
          <cell r="B150">
            <v>60</v>
          </cell>
          <cell r="C150">
            <v>7</v>
          </cell>
        </row>
        <row r="151">
          <cell r="B151">
            <v>76</v>
          </cell>
          <cell r="C151">
            <v>8</v>
          </cell>
        </row>
        <row r="152">
          <cell r="B152">
            <v>48</v>
          </cell>
          <cell r="C152">
            <v>4</v>
          </cell>
        </row>
        <row r="153">
          <cell r="B153">
            <v>58</v>
          </cell>
          <cell r="C153">
            <v>6</v>
          </cell>
        </row>
        <row r="154">
          <cell r="B154">
            <v>45</v>
          </cell>
          <cell r="C154">
            <v>5</v>
          </cell>
        </row>
        <row r="155">
          <cell r="B155">
            <v>56</v>
          </cell>
          <cell r="C155">
            <v>7</v>
          </cell>
        </row>
        <row r="156">
          <cell r="B156">
            <v>73</v>
          </cell>
          <cell r="C156">
            <v>5</v>
          </cell>
        </row>
        <row r="157">
          <cell r="B157">
            <v>48</v>
          </cell>
          <cell r="C157">
            <v>7</v>
          </cell>
        </row>
        <row r="158">
          <cell r="B158">
            <v>71</v>
          </cell>
          <cell r="C158">
            <v>5</v>
          </cell>
        </row>
        <row r="159">
          <cell r="B159">
            <v>70</v>
          </cell>
          <cell r="C159">
            <v>5</v>
          </cell>
        </row>
        <row r="160">
          <cell r="B160">
            <v>60</v>
          </cell>
          <cell r="C160">
            <v>5</v>
          </cell>
        </row>
        <row r="161">
          <cell r="B161">
            <v>56</v>
          </cell>
          <cell r="C161">
            <v>7</v>
          </cell>
        </row>
        <row r="162">
          <cell r="B162">
            <v>85</v>
          </cell>
          <cell r="C162">
            <v>5</v>
          </cell>
        </row>
        <row r="163">
          <cell r="B163">
            <v>53</v>
          </cell>
          <cell r="C163">
            <v>7</v>
          </cell>
        </row>
        <row r="164">
          <cell r="B164">
            <v>80</v>
          </cell>
          <cell r="C164">
            <v>6</v>
          </cell>
        </row>
        <row r="165">
          <cell r="B165">
            <v>54</v>
          </cell>
          <cell r="C165">
            <v>8</v>
          </cell>
        </row>
        <row r="166">
          <cell r="B166">
            <v>59</v>
          </cell>
          <cell r="C166">
            <v>4</v>
          </cell>
        </row>
        <row r="167">
          <cell r="B167">
            <v>40</v>
          </cell>
          <cell r="C167">
            <v>4</v>
          </cell>
        </row>
        <row r="168">
          <cell r="B168">
            <v>75</v>
          </cell>
          <cell r="C168">
            <v>9</v>
          </cell>
        </row>
        <row r="169">
          <cell r="B169">
            <v>53</v>
          </cell>
          <cell r="C169">
            <v>8</v>
          </cell>
        </row>
        <row r="170">
          <cell r="B170">
            <v>84</v>
          </cell>
          <cell r="C170">
            <v>7</v>
          </cell>
        </row>
        <row r="171">
          <cell r="B171">
            <v>78</v>
          </cell>
          <cell r="C171">
            <v>9</v>
          </cell>
        </row>
        <row r="172">
          <cell r="B172">
            <v>76</v>
          </cell>
          <cell r="C172">
            <v>6</v>
          </cell>
        </row>
        <row r="173">
          <cell r="B173">
            <v>67</v>
          </cell>
          <cell r="C173">
            <v>8</v>
          </cell>
        </row>
        <row r="174">
          <cell r="B174">
            <v>80</v>
          </cell>
          <cell r="C174">
            <v>6</v>
          </cell>
        </row>
        <row r="175">
          <cell r="B175">
            <v>52</v>
          </cell>
          <cell r="C175">
            <v>5</v>
          </cell>
        </row>
        <row r="176">
          <cell r="B176">
            <v>50</v>
          </cell>
          <cell r="C176">
            <v>7</v>
          </cell>
        </row>
        <row r="177">
          <cell r="B177">
            <v>71</v>
          </cell>
          <cell r="C177">
            <v>5</v>
          </cell>
        </row>
        <row r="178">
          <cell r="B178">
            <v>50</v>
          </cell>
          <cell r="C178">
            <v>4</v>
          </cell>
        </row>
        <row r="179">
          <cell r="B179">
            <v>81</v>
          </cell>
          <cell r="C179">
            <v>9</v>
          </cell>
        </row>
        <row r="180">
          <cell r="B180">
            <v>65</v>
          </cell>
          <cell r="C180">
            <v>5</v>
          </cell>
        </row>
        <row r="181">
          <cell r="B181">
            <v>48</v>
          </cell>
          <cell r="C181">
            <v>7</v>
          </cell>
        </row>
        <row r="182">
          <cell r="B182">
            <v>54</v>
          </cell>
          <cell r="C182">
            <v>6</v>
          </cell>
        </row>
        <row r="183">
          <cell r="B183">
            <v>75</v>
          </cell>
          <cell r="C183">
            <v>7</v>
          </cell>
        </row>
        <row r="184">
          <cell r="B184">
            <v>74</v>
          </cell>
          <cell r="C184">
            <v>8</v>
          </cell>
        </row>
        <row r="185">
          <cell r="B185">
            <v>85</v>
          </cell>
          <cell r="C185">
            <v>6</v>
          </cell>
        </row>
        <row r="186">
          <cell r="B186">
            <v>54</v>
          </cell>
          <cell r="C186">
            <v>6</v>
          </cell>
        </row>
        <row r="187">
          <cell r="B187">
            <v>43</v>
          </cell>
          <cell r="C187">
            <v>7</v>
          </cell>
        </row>
        <row r="188">
          <cell r="B188">
            <v>54</v>
          </cell>
          <cell r="C188">
            <v>6</v>
          </cell>
        </row>
        <row r="189">
          <cell r="B189">
            <v>54</v>
          </cell>
          <cell r="C189">
            <v>8</v>
          </cell>
        </row>
        <row r="190">
          <cell r="B190">
            <v>55</v>
          </cell>
          <cell r="C190">
            <v>5</v>
          </cell>
        </row>
        <row r="191">
          <cell r="B191">
            <v>57</v>
          </cell>
          <cell r="C191">
            <v>7</v>
          </cell>
        </row>
        <row r="192">
          <cell r="B192">
            <v>49</v>
          </cell>
          <cell r="C192">
            <v>4</v>
          </cell>
        </row>
        <row r="193">
          <cell r="B193">
            <v>79</v>
          </cell>
          <cell r="C193">
            <v>8</v>
          </cell>
        </row>
        <row r="194">
          <cell r="B194">
            <v>80</v>
          </cell>
          <cell r="C194">
            <v>7</v>
          </cell>
        </row>
        <row r="195">
          <cell r="B195">
            <v>47</v>
          </cell>
          <cell r="C195">
            <v>3</v>
          </cell>
        </row>
        <row r="196">
          <cell r="B196">
            <v>73</v>
          </cell>
          <cell r="C196">
            <v>5</v>
          </cell>
        </row>
        <row r="197">
          <cell r="B197">
            <v>46</v>
          </cell>
          <cell r="C197">
            <v>4</v>
          </cell>
        </row>
        <row r="198">
          <cell r="B198">
            <v>67</v>
          </cell>
          <cell r="C198">
            <v>7</v>
          </cell>
        </row>
        <row r="199">
          <cell r="B199">
            <v>72</v>
          </cell>
          <cell r="C199">
            <v>6</v>
          </cell>
        </row>
        <row r="200">
          <cell r="B200">
            <v>81</v>
          </cell>
          <cell r="C200">
            <v>9</v>
          </cell>
        </row>
        <row r="201">
          <cell r="B201">
            <v>38</v>
          </cell>
          <cell r="C201">
            <v>7</v>
          </cell>
        </row>
        <row r="202">
          <cell r="B202">
            <v>41</v>
          </cell>
          <cell r="C202">
            <v>4</v>
          </cell>
        </row>
        <row r="203">
          <cell r="B203">
            <v>78</v>
          </cell>
          <cell r="C203">
            <v>5</v>
          </cell>
        </row>
        <row r="204">
          <cell r="B204">
            <v>75</v>
          </cell>
          <cell r="C204">
            <v>5</v>
          </cell>
        </row>
        <row r="205">
          <cell r="B205">
            <v>56</v>
          </cell>
          <cell r="C205">
            <v>6</v>
          </cell>
        </row>
        <row r="206">
          <cell r="B206">
            <v>57</v>
          </cell>
          <cell r="C206">
            <v>8</v>
          </cell>
        </row>
        <row r="207">
          <cell r="B207">
            <v>53</v>
          </cell>
          <cell r="C207">
            <v>6</v>
          </cell>
        </row>
        <row r="208">
          <cell r="B208">
            <v>74</v>
          </cell>
          <cell r="C208">
            <v>7</v>
          </cell>
        </row>
        <row r="209">
          <cell r="B209">
            <v>75</v>
          </cell>
          <cell r="C209">
            <v>7</v>
          </cell>
        </row>
        <row r="210">
          <cell r="B210">
            <v>78</v>
          </cell>
          <cell r="C210">
            <v>9</v>
          </cell>
        </row>
        <row r="211">
          <cell r="B211">
            <v>37</v>
          </cell>
          <cell r="C211">
            <v>3</v>
          </cell>
        </row>
        <row r="212">
          <cell r="B212">
            <v>78</v>
          </cell>
          <cell r="C212">
            <v>8</v>
          </cell>
        </row>
        <row r="213">
          <cell r="B213">
            <v>83</v>
          </cell>
          <cell r="C213">
            <v>8</v>
          </cell>
        </row>
        <row r="214">
          <cell r="B214">
            <v>41</v>
          </cell>
          <cell r="C214">
            <v>6</v>
          </cell>
        </row>
        <row r="215">
          <cell r="B215">
            <v>59</v>
          </cell>
          <cell r="C215">
            <v>8</v>
          </cell>
        </row>
        <row r="216">
          <cell r="B216">
            <v>68</v>
          </cell>
          <cell r="C216">
            <v>6</v>
          </cell>
        </row>
        <row r="217">
          <cell r="B217">
            <v>62</v>
          </cell>
          <cell r="C217">
            <v>5</v>
          </cell>
        </row>
        <row r="218">
          <cell r="B218">
            <v>46</v>
          </cell>
          <cell r="C218">
            <v>3</v>
          </cell>
        </row>
        <row r="219">
          <cell r="B219">
            <v>88</v>
          </cell>
          <cell r="C219">
            <v>9</v>
          </cell>
        </row>
        <row r="220">
          <cell r="B220">
            <v>42</v>
          </cell>
          <cell r="C220">
            <v>7</v>
          </cell>
        </row>
        <row r="221">
          <cell r="B221">
            <v>54</v>
          </cell>
          <cell r="C221">
            <v>7</v>
          </cell>
        </row>
        <row r="222">
          <cell r="B222">
            <v>46</v>
          </cell>
          <cell r="C222">
            <v>3</v>
          </cell>
        </row>
        <row r="223">
          <cell r="B223">
            <v>57</v>
          </cell>
          <cell r="C223">
            <v>5</v>
          </cell>
        </row>
        <row r="224">
          <cell r="B224">
            <v>50</v>
          </cell>
          <cell r="C224">
            <v>3</v>
          </cell>
        </row>
        <row r="225">
          <cell r="B225">
            <v>62</v>
          </cell>
          <cell r="C225">
            <v>6</v>
          </cell>
        </row>
        <row r="226">
          <cell r="B226">
            <v>85</v>
          </cell>
          <cell r="C226">
            <v>8</v>
          </cell>
        </row>
        <row r="227">
          <cell r="B227">
            <v>81</v>
          </cell>
          <cell r="C227">
            <v>5</v>
          </cell>
        </row>
        <row r="228">
          <cell r="B228">
            <v>41</v>
          </cell>
          <cell r="C228">
            <v>3</v>
          </cell>
        </row>
        <row r="229">
          <cell r="B229">
            <v>76</v>
          </cell>
          <cell r="C229">
            <v>9</v>
          </cell>
        </row>
        <row r="230">
          <cell r="B230">
            <v>66</v>
          </cell>
          <cell r="C230">
            <v>7</v>
          </cell>
        </row>
        <row r="231">
          <cell r="B231">
            <v>70</v>
          </cell>
          <cell r="C231">
            <v>6</v>
          </cell>
        </row>
        <row r="232">
          <cell r="B232">
            <v>68</v>
          </cell>
          <cell r="C232">
            <v>5</v>
          </cell>
        </row>
        <row r="233">
          <cell r="B233">
            <v>61</v>
          </cell>
          <cell r="C233">
            <v>4</v>
          </cell>
        </row>
        <row r="234">
          <cell r="B234">
            <v>32</v>
          </cell>
          <cell r="C234">
            <v>4</v>
          </cell>
        </row>
        <row r="235">
          <cell r="B235">
            <v>47</v>
          </cell>
          <cell r="C235">
            <v>7</v>
          </cell>
        </row>
        <row r="236">
          <cell r="B236">
            <v>43</v>
          </cell>
          <cell r="C236">
            <v>6</v>
          </cell>
        </row>
        <row r="237">
          <cell r="B237">
            <v>42</v>
          </cell>
          <cell r="C237">
            <v>7</v>
          </cell>
        </row>
        <row r="238">
          <cell r="B238">
            <v>63</v>
          </cell>
          <cell r="C238">
            <v>7</v>
          </cell>
        </row>
        <row r="239">
          <cell r="B239">
            <v>71</v>
          </cell>
          <cell r="C239">
            <v>7</v>
          </cell>
        </row>
        <row r="240">
          <cell r="B240">
            <v>69</v>
          </cell>
          <cell r="C240">
            <v>7</v>
          </cell>
        </row>
        <row r="241">
          <cell r="B241">
            <v>57</v>
          </cell>
          <cell r="C241">
            <v>8</v>
          </cell>
        </row>
        <row r="242">
          <cell r="B242">
            <v>58</v>
          </cell>
          <cell r="C242">
            <v>6</v>
          </cell>
        </row>
        <row r="243">
          <cell r="B243">
            <v>39</v>
          </cell>
          <cell r="C243">
            <v>3</v>
          </cell>
        </row>
        <row r="244">
          <cell r="B244">
            <v>81</v>
          </cell>
          <cell r="C244">
            <v>6</v>
          </cell>
        </row>
        <row r="245">
          <cell r="B245">
            <v>80</v>
          </cell>
          <cell r="C245">
            <v>9</v>
          </cell>
        </row>
        <row r="246">
          <cell r="B246">
            <v>48</v>
          </cell>
          <cell r="C246">
            <v>7</v>
          </cell>
        </row>
        <row r="247">
          <cell r="B247">
            <v>74</v>
          </cell>
          <cell r="C247">
            <v>8</v>
          </cell>
        </row>
        <row r="248">
          <cell r="B248">
            <v>53</v>
          </cell>
          <cell r="C248">
            <v>7</v>
          </cell>
        </row>
        <row r="249">
          <cell r="B249">
            <v>52</v>
          </cell>
          <cell r="C249">
            <v>5</v>
          </cell>
        </row>
        <row r="250">
          <cell r="B250">
            <v>82</v>
          </cell>
          <cell r="C250">
            <v>7</v>
          </cell>
        </row>
        <row r="251">
          <cell r="B251">
            <v>57</v>
          </cell>
          <cell r="C251">
            <v>4</v>
          </cell>
        </row>
        <row r="252">
          <cell r="B252">
            <v>48</v>
          </cell>
          <cell r="C252">
            <v>3</v>
          </cell>
        </row>
        <row r="253">
          <cell r="B253">
            <v>80</v>
          </cell>
          <cell r="C253">
            <v>9</v>
          </cell>
        </row>
        <row r="254">
          <cell r="B254">
            <v>45</v>
          </cell>
          <cell r="C254">
            <v>7</v>
          </cell>
        </row>
        <row r="255">
          <cell r="B255">
            <v>56</v>
          </cell>
          <cell r="C255">
            <v>8</v>
          </cell>
        </row>
        <row r="256">
          <cell r="B256">
            <v>44</v>
          </cell>
          <cell r="C256">
            <v>6</v>
          </cell>
        </row>
        <row r="257">
          <cell r="B257">
            <v>70</v>
          </cell>
          <cell r="C257">
            <v>4</v>
          </cell>
        </row>
        <row r="258">
          <cell r="B258">
            <v>64</v>
          </cell>
          <cell r="C258">
            <v>5</v>
          </cell>
        </row>
        <row r="259">
          <cell r="B259">
            <v>65</v>
          </cell>
          <cell r="C259">
            <v>4</v>
          </cell>
        </row>
        <row r="260">
          <cell r="B260">
            <v>61</v>
          </cell>
          <cell r="C260">
            <v>8</v>
          </cell>
        </row>
        <row r="261">
          <cell r="B261">
            <v>84</v>
          </cell>
          <cell r="C261">
            <v>5</v>
          </cell>
        </row>
        <row r="262">
          <cell r="B262">
            <v>78</v>
          </cell>
          <cell r="C262">
            <v>7</v>
          </cell>
        </row>
        <row r="263">
          <cell r="B263">
            <v>78</v>
          </cell>
          <cell r="C263">
            <v>6</v>
          </cell>
        </row>
        <row r="264">
          <cell r="B264">
            <v>44</v>
          </cell>
          <cell r="C264">
            <v>5</v>
          </cell>
        </row>
        <row r="265">
          <cell r="B265">
            <v>51</v>
          </cell>
          <cell r="C265">
            <v>7</v>
          </cell>
        </row>
        <row r="266">
          <cell r="B266">
            <v>60</v>
          </cell>
          <cell r="C266">
            <v>8</v>
          </cell>
        </row>
        <row r="267">
          <cell r="B267">
            <v>78</v>
          </cell>
          <cell r="C267">
            <v>6</v>
          </cell>
        </row>
        <row r="268">
          <cell r="B268">
            <v>75</v>
          </cell>
          <cell r="C268">
            <v>9</v>
          </cell>
        </row>
        <row r="269">
          <cell r="B269">
            <v>58</v>
          </cell>
          <cell r="C269">
            <v>5</v>
          </cell>
        </row>
        <row r="270">
          <cell r="B270">
            <v>65</v>
          </cell>
          <cell r="C270">
            <v>8</v>
          </cell>
        </row>
        <row r="271">
          <cell r="B271">
            <v>66</v>
          </cell>
          <cell r="C271">
            <v>4</v>
          </cell>
        </row>
        <row r="272">
          <cell r="B272">
            <v>81</v>
          </cell>
          <cell r="C272">
            <v>6</v>
          </cell>
        </row>
        <row r="273">
          <cell r="B273">
            <v>38</v>
          </cell>
          <cell r="C273">
            <v>4</v>
          </cell>
        </row>
        <row r="274">
          <cell r="B274">
            <v>60</v>
          </cell>
          <cell r="C274">
            <v>6</v>
          </cell>
        </row>
        <row r="275">
          <cell r="B275">
            <v>53</v>
          </cell>
          <cell r="C275">
            <v>6</v>
          </cell>
        </row>
        <row r="276">
          <cell r="B276">
            <v>71</v>
          </cell>
          <cell r="C276">
            <v>7</v>
          </cell>
        </row>
        <row r="277">
          <cell r="B277">
            <v>50</v>
          </cell>
          <cell r="C277">
            <v>7</v>
          </cell>
        </row>
        <row r="278">
          <cell r="B278">
            <v>43</v>
          </cell>
          <cell r="C278">
            <v>5</v>
          </cell>
        </row>
        <row r="279">
          <cell r="B279">
            <v>77</v>
          </cell>
          <cell r="C279">
            <v>5</v>
          </cell>
        </row>
        <row r="280">
          <cell r="B280">
            <v>40</v>
          </cell>
          <cell r="C280">
            <v>5</v>
          </cell>
        </row>
        <row r="281">
          <cell r="B281">
            <v>70</v>
          </cell>
          <cell r="C281">
            <v>6</v>
          </cell>
        </row>
        <row r="282">
          <cell r="B282">
            <v>71</v>
          </cell>
          <cell r="C282">
            <v>7</v>
          </cell>
        </row>
        <row r="283">
          <cell r="B283">
            <v>66</v>
          </cell>
          <cell r="C283">
            <v>5</v>
          </cell>
        </row>
        <row r="284">
          <cell r="B284">
            <v>80</v>
          </cell>
          <cell r="C284">
            <v>6</v>
          </cell>
        </row>
        <row r="285">
          <cell r="B285">
            <v>43</v>
          </cell>
          <cell r="C285">
            <v>6</v>
          </cell>
        </row>
        <row r="286">
          <cell r="B286">
            <v>50</v>
          </cell>
          <cell r="C286">
            <v>4</v>
          </cell>
        </row>
        <row r="287">
          <cell r="B287">
            <v>89</v>
          </cell>
          <cell r="C287">
            <v>6</v>
          </cell>
        </row>
        <row r="288">
          <cell r="B288">
            <v>68</v>
          </cell>
          <cell r="C288">
            <v>8</v>
          </cell>
        </row>
        <row r="289">
          <cell r="B289">
            <v>52</v>
          </cell>
          <cell r="C289">
            <v>4</v>
          </cell>
        </row>
        <row r="290">
          <cell r="B290">
            <v>51</v>
          </cell>
          <cell r="C290">
            <v>8</v>
          </cell>
        </row>
        <row r="291">
          <cell r="B291">
            <v>40</v>
          </cell>
          <cell r="C291">
            <v>7</v>
          </cell>
        </row>
        <row r="292">
          <cell r="B292">
            <v>40</v>
          </cell>
          <cell r="C292">
            <v>3</v>
          </cell>
        </row>
        <row r="293">
          <cell r="B293">
            <v>50</v>
          </cell>
          <cell r="C293">
            <v>5</v>
          </cell>
        </row>
        <row r="294">
          <cell r="B294">
            <v>65</v>
          </cell>
          <cell r="C294">
            <v>5</v>
          </cell>
        </row>
        <row r="295">
          <cell r="B295">
            <v>47</v>
          </cell>
          <cell r="C295">
            <v>7</v>
          </cell>
        </row>
        <row r="296">
          <cell r="B296">
            <v>77</v>
          </cell>
          <cell r="C296">
            <v>5</v>
          </cell>
        </row>
        <row r="297">
          <cell r="B297">
            <v>55</v>
          </cell>
          <cell r="C297">
            <v>6</v>
          </cell>
        </row>
        <row r="298">
          <cell r="B298">
            <v>74</v>
          </cell>
          <cell r="C298">
            <v>6</v>
          </cell>
        </row>
        <row r="299">
          <cell r="B299">
            <v>76</v>
          </cell>
          <cell r="C299">
            <v>8</v>
          </cell>
        </row>
        <row r="300">
          <cell r="B300">
            <v>52</v>
          </cell>
          <cell r="C300">
            <v>8</v>
          </cell>
        </row>
        <row r="301">
          <cell r="B301">
            <v>67</v>
          </cell>
          <cell r="C301">
            <v>7</v>
          </cell>
        </row>
        <row r="302">
          <cell r="B302">
            <v>48</v>
          </cell>
          <cell r="C302">
            <v>4</v>
          </cell>
        </row>
        <row r="303">
          <cell r="B303">
            <v>63</v>
          </cell>
          <cell r="C303">
            <v>7</v>
          </cell>
        </row>
        <row r="304">
          <cell r="B304">
            <v>54</v>
          </cell>
          <cell r="C304">
            <v>6</v>
          </cell>
        </row>
        <row r="305">
          <cell r="B305">
            <v>38</v>
          </cell>
          <cell r="C305">
            <v>5</v>
          </cell>
        </row>
        <row r="306">
          <cell r="B306">
            <v>75</v>
          </cell>
          <cell r="C306">
            <v>8</v>
          </cell>
        </row>
        <row r="307">
          <cell r="B307">
            <v>73</v>
          </cell>
          <cell r="C307">
            <v>6</v>
          </cell>
        </row>
        <row r="308">
          <cell r="B308">
            <v>52</v>
          </cell>
          <cell r="C308">
            <v>4</v>
          </cell>
        </row>
        <row r="309">
          <cell r="B309">
            <v>49</v>
          </cell>
          <cell r="C309">
            <v>6</v>
          </cell>
        </row>
        <row r="310">
          <cell r="B310">
            <v>47</v>
          </cell>
          <cell r="C310">
            <v>3</v>
          </cell>
        </row>
        <row r="311">
          <cell r="B311">
            <v>65</v>
          </cell>
          <cell r="C311">
            <v>8</v>
          </cell>
        </row>
        <row r="312">
          <cell r="B312">
            <v>79</v>
          </cell>
          <cell r="C312">
            <v>9</v>
          </cell>
        </row>
        <row r="313">
          <cell r="B313">
            <v>43</v>
          </cell>
          <cell r="C313">
            <v>5</v>
          </cell>
        </row>
        <row r="314">
          <cell r="B314">
            <v>58</v>
          </cell>
          <cell r="C314">
            <v>4</v>
          </cell>
        </row>
        <row r="315">
          <cell r="B315">
            <v>52</v>
          </cell>
          <cell r="C315">
            <v>4</v>
          </cell>
        </row>
        <row r="316">
          <cell r="B316">
            <v>44</v>
          </cell>
          <cell r="C316">
            <v>4</v>
          </cell>
        </row>
        <row r="317">
          <cell r="B317">
            <v>44</v>
          </cell>
          <cell r="C317">
            <v>4</v>
          </cell>
        </row>
        <row r="318">
          <cell r="B318">
            <v>61</v>
          </cell>
          <cell r="C318">
            <v>5</v>
          </cell>
        </row>
        <row r="319">
          <cell r="B319">
            <v>84</v>
          </cell>
          <cell r="C319">
            <v>6</v>
          </cell>
        </row>
        <row r="320">
          <cell r="B320">
            <v>53</v>
          </cell>
          <cell r="C320">
            <v>7</v>
          </cell>
        </row>
        <row r="321">
          <cell r="B321">
            <v>60</v>
          </cell>
          <cell r="C321">
            <v>6</v>
          </cell>
        </row>
        <row r="322">
          <cell r="B322">
            <v>79</v>
          </cell>
          <cell r="C322">
            <v>8</v>
          </cell>
        </row>
        <row r="323">
          <cell r="B323">
            <v>85</v>
          </cell>
          <cell r="C323">
            <v>8</v>
          </cell>
        </row>
        <row r="324">
          <cell r="B324">
            <v>74</v>
          </cell>
          <cell r="C324">
            <v>8</v>
          </cell>
        </row>
        <row r="325">
          <cell r="B325">
            <v>69</v>
          </cell>
          <cell r="C325">
            <v>5</v>
          </cell>
        </row>
        <row r="326">
          <cell r="B326">
            <v>51</v>
          </cell>
          <cell r="C326">
            <v>5</v>
          </cell>
        </row>
        <row r="327">
          <cell r="B327">
            <v>51</v>
          </cell>
          <cell r="C327">
            <v>6</v>
          </cell>
        </row>
        <row r="328">
          <cell r="B328">
            <v>81</v>
          </cell>
          <cell r="C328">
            <v>8</v>
          </cell>
        </row>
        <row r="329">
          <cell r="B329">
            <v>70</v>
          </cell>
          <cell r="C329">
            <v>7</v>
          </cell>
        </row>
        <row r="330">
          <cell r="B330">
            <v>58</v>
          </cell>
          <cell r="C330">
            <v>5</v>
          </cell>
        </row>
        <row r="331">
          <cell r="B331">
            <v>77</v>
          </cell>
          <cell r="C331">
            <v>5</v>
          </cell>
        </row>
        <row r="332">
          <cell r="B332">
            <v>58</v>
          </cell>
          <cell r="C332">
            <v>8</v>
          </cell>
        </row>
        <row r="333">
          <cell r="B333">
            <v>46</v>
          </cell>
          <cell r="C333">
            <v>3</v>
          </cell>
        </row>
        <row r="334">
          <cell r="B334">
            <v>41</v>
          </cell>
          <cell r="C334">
            <v>7</v>
          </cell>
        </row>
        <row r="335">
          <cell r="B335">
            <v>68</v>
          </cell>
          <cell r="C335">
            <v>5</v>
          </cell>
        </row>
        <row r="336">
          <cell r="B336">
            <v>67</v>
          </cell>
          <cell r="C336">
            <v>5</v>
          </cell>
        </row>
        <row r="337">
          <cell r="B337">
            <v>45</v>
          </cell>
          <cell r="C337">
            <v>3</v>
          </cell>
        </row>
        <row r="338">
          <cell r="B338">
            <v>42</v>
          </cell>
          <cell r="C338">
            <v>6</v>
          </cell>
        </row>
        <row r="339">
          <cell r="B339">
            <v>50</v>
          </cell>
          <cell r="C339">
            <v>5</v>
          </cell>
        </row>
        <row r="340">
          <cell r="B340">
            <v>75</v>
          </cell>
          <cell r="C340">
            <v>9</v>
          </cell>
        </row>
        <row r="341">
          <cell r="B341">
            <v>59</v>
          </cell>
          <cell r="C341">
            <v>6</v>
          </cell>
        </row>
        <row r="342">
          <cell r="B342">
            <v>70</v>
          </cell>
          <cell r="C342">
            <v>5</v>
          </cell>
        </row>
        <row r="343">
          <cell r="B343">
            <v>44</v>
          </cell>
          <cell r="C343">
            <v>3</v>
          </cell>
        </row>
        <row r="344">
          <cell r="B344">
            <v>85</v>
          </cell>
          <cell r="C344">
            <v>7</v>
          </cell>
        </row>
        <row r="345">
          <cell r="B345">
            <v>31</v>
          </cell>
          <cell r="C345">
            <v>4</v>
          </cell>
        </row>
        <row r="346">
          <cell r="B346">
            <v>50</v>
          </cell>
          <cell r="C346">
            <v>5</v>
          </cell>
        </row>
        <row r="347">
          <cell r="B347">
            <v>54</v>
          </cell>
          <cell r="C347">
            <v>4</v>
          </cell>
        </row>
        <row r="348">
          <cell r="B348">
            <v>55</v>
          </cell>
          <cell r="C348">
            <v>7</v>
          </cell>
        </row>
        <row r="349">
          <cell r="B349">
            <v>59</v>
          </cell>
          <cell r="C349">
            <v>5</v>
          </cell>
        </row>
        <row r="350">
          <cell r="B350">
            <v>77</v>
          </cell>
          <cell r="C350">
            <v>5</v>
          </cell>
        </row>
        <row r="351">
          <cell r="B351">
            <v>89</v>
          </cell>
          <cell r="C351">
            <v>5</v>
          </cell>
        </row>
        <row r="352">
          <cell r="B352">
            <v>64</v>
          </cell>
          <cell r="C352">
            <v>6</v>
          </cell>
        </row>
        <row r="353">
          <cell r="B353">
            <v>57</v>
          </cell>
          <cell r="C353">
            <v>5</v>
          </cell>
        </row>
        <row r="354">
          <cell r="B354">
            <v>74</v>
          </cell>
          <cell r="C354">
            <v>7</v>
          </cell>
        </row>
        <row r="355">
          <cell r="B355">
            <v>59</v>
          </cell>
          <cell r="C355">
            <v>7</v>
          </cell>
        </row>
        <row r="356">
          <cell r="B356">
            <v>41</v>
          </cell>
          <cell r="C356">
            <v>3</v>
          </cell>
        </row>
        <row r="357">
          <cell r="B357">
            <v>64</v>
          </cell>
          <cell r="C357">
            <v>8</v>
          </cell>
        </row>
        <row r="358">
          <cell r="B358">
            <v>45</v>
          </cell>
          <cell r="C358">
            <v>3</v>
          </cell>
        </row>
        <row r="359">
          <cell r="B359">
            <v>34</v>
          </cell>
          <cell r="C359">
            <v>6</v>
          </cell>
        </row>
        <row r="360">
          <cell r="B360">
            <v>77</v>
          </cell>
          <cell r="C360">
            <v>5</v>
          </cell>
        </row>
        <row r="361">
          <cell r="B361">
            <v>38</v>
          </cell>
          <cell r="C361">
            <v>7</v>
          </cell>
        </row>
        <row r="362">
          <cell r="B362">
            <v>72</v>
          </cell>
          <cell r="C362">
            <v>9</v>
          </cell>
        </row>
        <row r="363">
          <cell r="B363">
            <v>49</v>
          </cell>
          <cell r="C363">
            <v>6</v>
          </cell>
        </row>
        <row r="364">
          <cell r="B364">
            <v>62</v>
          </cell>
          <cell r="C364">
            <v>6</v>
          </cell>
        </row>
        <row r="365">
          <cell r="B365">
            <v>71</v>
          </cell>
          <cell r="C365">
            <v>6</v>
          </cell>
        </row>
        <row r="366">
          <cell r="B366">
            <v>47</v>
          </cell>
          <cell r="C366">
            <v>6</v>
          </cell>
        </row>
      </sheetData>
      <sheetData sheetId="2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9049136-669C-466A-B38C-9019590695C9}" autoFormatId="16" applyNumberFormats="0" applyBorderFormats="0" applyFontFormats="0" applyPatternFormats="0" applyAlignmentFormats="0" applyWidthHeightFormats="0">
  <queryTableRefresh nextId="27">
    <queryTableFields count="26">
      <queryTableField id="1" name="Date" tableColumnId="1"/>
      <queryTableField id="2" name="Facebook Ad Campaign" tableColumnId="2"/>
      <queryTableField id="3" name="Facebook Ad Views" tableColumnId="3"/>
      <queryTableField id="4" name="Facebook Ad Clicks" tableColumnId="4"/>
      <queryTableField id="5" name="Facebook Ad Conversions" tableColumnId="5"/>
      <queryTableField id="6" name="Cost per Facebook Ad" tableColumnId="6"/>
      <queryTableField id="7" name="Facebook Click-Through Rate (Clicks / View)" tableColumnId="7"/>
      <queryTableField id="8" name="Facebook Conversion Rate (Conversions / Clicks)" tableColumnId="8"/>
      <queryTableField id="9" name="Facebook Cost per Click (Ad Cost / Clicks)" tableColumnId="9"/>
      <queryTableField id="10" name="AdWords Ad Campaign" tableColumnId="10"/>
      <queryTableField id="11" name="AdWords Ad Views" tableColumnId="11"/>
      <queryTableField id="12" name="AdWords Ad Clicks" tableColumnId="12"/>
      <queryTableField id="13" name="AdWords Ad Conversions" tableColumnId="13"/>
      <queryTableField id="14" name="Cost per AdWords Ad" tableColumnId="14"/>
      <queryTableField id="15" name="AdWords Click-Through Rate (Clicks / View)" tableColumnId="15"/>
      <queryTableField id="16" name="AdWords Conversion Rate (Conversions / Click)" tableColumnId="16"/>
      <queryTableField id="17" name="AdWords Cost per Click (Ad Cost / Clicks)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40B774-9599-4AF9-893C-BEB7F4E4F7D9}" name="Capstone_Dataset" displayName="Capstone_Dataset" ref="A1:Z1000" tableType="queryTable" totalsRowShown="0">
  <autoFilter ref="A1:Z1000" xr:uid="{6640B774-9599-4AF9-893C-BEB7F4E4F7D9}"/>
  <tableColumns count="26">
    <tableColumn id="1" xr3:uid="{A0F64C0B-758F-4AEE-8D20-D23DCF6753C9}" uniqueName="1" name="Date" queryTableFieldId="1" dataDxfId="3"/>
    <tableColumn id="2" xr3:uid="{772E4AAB-FDEC-4A95-8D39-F993F437E332}" uniqueName="2" name="Facebook Ad Campaign" queryTableFieldId="2" dataDxfId="2"/>
    <tableColumn id="3" xr3:uid="{D316FDE2-709E-458E-B55E-5BF8879F05F6}" uniqueName="3" name="Facebook Ad Views" queryTableFieldId="3"/>
    <tableColumn id="4" xr3:uid="{4B001229-307B-4717-B2E8-B67522284A5A}" uniqueName="4" name="Facebook Ad Clicks" queryTableFieldId="4"/>
    <tableColumn id="5" xr3:uid="{DD744FDE-4B73-493A-880C-CC10ACEEF988}" uniqueName="5" name="Facebook Ad Conversions" queryTableFieldId="5"/>
    <tableColumn id="6" xr3:uid="{B87BE8F9-508E-4A0E-8ECC-51D65C221A1E}" uniqueName="6" name="Cost per Facebook Ad" queryTableFieldId="6"/>
    <tableColumn id="7" xr3:uid="{E2F8FFFD-0F06-446B-9D65-A8E5C161FAF6}" uniqueName="7" name="Facebook Click-Through Rate (Clicks / View)" queryTableFieldId="7"/>
    <tableColumn id="8" xr3:uid="{75B5EBBF-A4ED-4A1B-90CC-174271F009A8}" uniqueName="8" name="Facebook Conversion Rate (Conversions / Clicks)" queryTableFieldId="8"/>
    <tableColumn id="9" xr3:uid="{9C9EDB8A-E8AD-487D-ADC7-191FBB0E79A9}" uniqueName="9" name="Facebook Cost per Click (Ad Cost / Clicks)" queryTableFieldId="9"/>
    <tableColumn id="10" xr3:uid="{90DD5BF6-E139-4549-9D93-FEC234A72B4B}" uniqueName="10" name="AdWords Ad Campaign" queryTableFieldId="10" dataDxfId="1"/>
    <tableColumn id="11" xr3:uid="{3612AFE9-F4D1-42B8-9F9C-715B59098FF2}" uniqueName="11" name="AdWords Ad Views" queryTableFieldId="11"/>
    <tableColumn id="12" xr3:uid="{197A9BFB-969E-4979-8CB6-6AA851087C55}" uniqueName="12" name="AdWords Ad Clicks" queryTableFieldId="12"/>
    <tableColumn id="13" xr3:uid="{3F252D03-CF65-4FA3-9E88-32B06AA5C3FA}" uniqueName="13" name="AdWords Ad Conversions" queryTableFieldId="13"/>
    <tableColumn id="14" xr3:uid="{6B92174A-9D7E-48DF-8C39-618F0EAADF43}" uniqueName="14" name="Cost per AdWords Ad" queryTableFieldId="14"/>
    <tableColumn id="15" xr3:uid="{1DE9E0B3-5BEE-449D-AB7B-93D7F4FEC11C}" uniqueName="15" name="AdWords Click-Through Rate (Clicks / View)" queryTableFieldId="15"/>
    <tableColumn id="16" xr3:uid="{F5B4F909-55FB-437D-AAD0-13B0D5873508}" uniqueName="16" name="AdWords Conversion Rate (Conversions / Click)" queryTableFieldId="16"/>
    <tableColumn id="17" xr3:uid="{66949425-E197-4A6F-A2FB-4749C731A2A2}" uniqueName="17" name="AdWords Cost per Click (Ad Cost / Clicks)" queryTableFieldId="17"/>
    <tableColumn id="18" xr3:uid="{03220F8F-2B66-4B77-8BEF-361A503C9D27}" uniqueName="18" name="Column18" queryTableFieldId="18"/>
    <tableColumn id="19" xr3:uid="{AEF84146-600F-4784-B443-2462C9FED7FD}" uniqueName="19" name="Column19" queryTableFieldId="19"/>
    <tableColumn id="20" xr3:uid="{CEAF0C0F-8797-4041-A6CA-B434FC76011F}" uniqueName="20" name="Column20" queryTableFieldId="20"/>
    <tableColumn id="21" xr3:uid="{491266A2-E2ED-4710-9D69-5AFD41D6A2D4}" uniqueName="21" name="Column21" queryTableFieldId="21"/>
    <tableColumn id="22" xr3:uid="{733E1092-7B04-4362-BE83-E0928D0233CD}" uniqueName="22" name="Column22" queryTableFieldId="22"/>
    <tableColumn id="23" xr3:uid="{43FE154B-EA91-4951-A828-F805FEFD9365}" uniqueName="23" name="Column23" queryTableFieldId="23"/>
    <tableColumn id="24" xr3:uid="{3E39C0FE-BF30-41F4-9D48-7B6B555ED2C2}" uniqueName="24" name="Column24" queryTableFieldId="24"/>
    <tableColumn id="25" xr3:uid="{74316C16-F0CE-4F68-9ECC-C548BB92FFA1}" uniqueName="25" name="Column25" queryTableFieldId="25"/>
    <tableColumn id="26" xr3:uid="{FF9794F8-5825-4665-BBB2-4E06B9014F2D}" uniqueName="26" name="Column26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9A8010-6428-4840-88AB-2BA244598159}" name="Frequency_Table" displayName="Frequency_Table" ref="A3:B7" headerRowDxfId="0">
  <tableColumns count="2">
    <tableColumn id="1" xr3:uid="{B8BB667A-8D28-4EDF-B15E-6FFFAC2343D0}" name="Cantidades"/>
    <tableColumn id="2" xr3:uid="{93FC8EBB-BCE8-4322-909A-8BD003D1A137}" name="Frecuencia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B34D-2335-408C-8767-35D7568B29E4}">
  <dimension ref="A1:Z1000"/>
  <sheetViews>
    <sheetView workbookViewId="0">
      <selection activeCell="D1" sqref="D1:D1048576"/>
    </sheetView>
  </sheetViews>
  <sheetFormatPr baseColWidth="10" defaultRowHeight="14.4" x14ac:dyDescent="0.3"/>
  <cols>
    <col min="1" max="1" width="10.5546875" bestFit="1" customWidth="1"/>
    <col min="2" max="2" width="23.109375" bestFit="1" customWidth="1"/>
    <col min="3" max="3" width="19.5546875" bestFit="1" customWidth="1"/>
    <col min="4" max="4" width="19.33203125" bestFit="1" customWidth="1"/>
    <col min="5" max="5" width="25" bestFit="1" customWidth="1"/>
    <col min="6" max="6" width="21.5546875" bestFit="1" customWidth="1"/>
    <col min="7" max="7" width="40.5546875" bestFit="1" customWidth="1"/>
    <col min="8" max="8" width="44.5546875" bestFit="1" customWidth="1"/>
    <col min="9" max="9" width="38.109375" bestFit="1" customWidth="1"/>
    <col min="10" max="10" width="22.77734375" bestFit="1" customWidth="1"/>
    <col min="11" max="11" width="19.21875" bestFit="1" customWidth="1"/>
    <col min="12" max="12" width="19" bestFit="1" customWidth="1"/>
    <col min="13" max="13" width="24.6640625" bestFit="1" customWidth="1"/>
    <col min="14" max="14" width="21.21875" bestFit="1" customWidth="1"/>
    <col min="15" max="15" width="40.21875" bestFit="1" customWidth="1"/>
    <col min="16" max="16" width="43.33203125" bestFit="1" customWidth="1"/>
    <col min="17" max="17" width="37.77734375" bestFit="1" customWidth="1"/>
    <col min="18" max="26" width="11.777343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s="1">
        <v>44927</v>
      </c>
      <c r="B2" t="s">
        <v>26</v>
      </c>
      <c r="C2">
        <v>2116</v>
      </c>
      <c r="D2">
        <v>18</v>
      </c>
      <c r="E2">
        <v>8</v>
      </c>
      <c r="F2">
        <v>126</v>
      </c>
      <c r="G2">
        <v>8.3000000000000001E-3</v>
      </c>
      <c r="H2">
        <v>0.42730000000000001</v>
      </c>
      <c r="I2">
        <v>7.14</v>
      </c>
      <c r="J2" t="s">
        <v>27</v>
      </c>
      <c r="K2">
        <v>4984</v>
      </c>
      <c r="L2">
        <v>59</v>
      </c>
      <c r="M2">
        <v>5</v>
      </c>
      <c r="N2">
        <v>234</v>
      </c>
      <c r="O2">
        <v>1.18E-2</v>
      </c>
      <c r="P2">
        <v>8.4000000000000005E-2</v>
      </c>
      <c r="Q2">
        <v>3.3</v>
      </c>
    </row>
    <row r="3" spans="1:26" x14ac:dyDescent="0.3">
      <c r="A3" s="1">
        <v>44928</v>
      </c>
      <c r="B3" t="s">
        <v>26</v>
      </c>
      <c r="C3">
        <v>3106</v>
      </c>
      <c r="D3">
        <v>36</v>
      </c>
      <c r="E3">
        <v>12</v>
      </c>
      <c r="F3">
        <v>104</v>
      </c>
      <c r="G3">
        <v>1.15E-2</v>
      </c>
      <c r="H3">
        <v>0.34039999999999998</v>
      </c>
      <c r="I3">
        <v>2.91</v>
      </c>
      <c r="J3" t="s">
        <v>27</v>
      </c>
      <c r="K3">
        <v>4022</v>
      </c>
      <c r="L3">
        <v>71</v>
      </c>
      <c r="M3">
        <v>6</v>
      </c>
      <c r="N3">
        <v>75</v>
      </c>
      <c r="O3">
        <v>1.77E-2</v>
      </c>
      <c r="P3">
        <v>7.8E-2</v>
      </c>
      <c r="Q3">
        <v>1.05</v>
      </c>
    </row>
    <row r="4" spans="1:26" x14ac:dyDescent="0.3">
      <c r="A4" s="1">
        <v>44929</v>
      </c>
      <c r="B4" t="s">
        <v>26</v>
      </c>
      <c r="C4">
        <v>3105</v>
      </c>
      <c r="D4">
        <v>26</v>
      </c>
      <c r="E4">
        <v>8</v>
      </c>
      <c r="F4">
        <v>102</v>
      </c>
      <c r="G4">
        <v>8.3999999999999995E-3</v>
      </c>
      <c r="H4">
        <v>0.3145</v>
      </c>
      <c r="I4">
        <v>3.89</v>
      </c>
      <c r="J4" t="s">
        <v>27</v>
      </c>
      <c r="K4">
        <v>3863</v>
      </c>
      <c r="L4">
        <v>44</v>
      </c>
      <c r="M4">
        <v>4</v>
      </c>
      <c r="N4">
        <v>141</v>
      </c>
      <c r="O4">
        <v>1.1299999999999999E-2</v>
      </c>
      <c r="P4">
        <v>9.5899999999999999E-2</v>
      </c>
      <c r="Q4">
        <v>3.23</v>
      </c>
    </row>
    <row r="5" spans="1:26" x14ac:dyDescent="0.3">
      <c r="A5" s="1">
        <v>44930</v>
      </c>
      <c r="B5" t="s">
        <v>26</v>
      </c>
      <c r="C5">
        <v>1107</v>
      </c>
      <c r="D5">
        <v>27</v>
      </c>
      <c r="E5">
        <v>9</v>
      </c>
      <c r="F5">
        <v>71</v>
      </c>
      <c r="G5">
        <v>2.4500000000000001E-2</v>
      </c>
      <c r="H5">
        <v>0.34760000000000002</v>
      </c>
      <c r="I5">
        <v>2.62</v>
      </c>
      <c r="J5" t="s">
        <v>27</v>
      </c>
      <c r="K5">
        <v>3911</v>
      </c>
      <c r="L5">
        <v>49</v>
      </c>
      <c r="M5">
        <v>5</v>
      </c>
      <c r="N5">
        <v>141</v>
      </c>
      <c r="O5">
        <v>1.26E-2</v>
      </c>
      <c r="P5">
        <v>0.1108</v>
      </c>
      <c r="Q5">
        <v>2.86</v>
      </c>
    </row>
    <row r="6" spans="1:26" x14ac:dyDescent="0.3">
      <c r="A6" s="1">
        <v>44931</v>
      </c>
      <c r="B6" t="s">
        <v>26</v>
      </c>
      <c r="C6">
        <v>1317</v>
      </c>
      <c r="D6">
        <v>15</v>
      </c>
      <c r="E6">
        <v>7</v>
      </c>
      <c r="F6">
        <v>78</v>
      </c>
      <c r="G6">
        <v>1.0999999999999999E-2</v>
      </c>
      <c r="H6">
        <v>0.47589999999999999</v>
      </c>
      <c r="I6">
        <v>5.38</v>
      </c>
      <c r="J6" t="s">
        <v>27</v>
      </c>
      <c r="K6">
        <v>4070</v>
      </c>
      <c r="L6">
        <v>55</v>
      </c>
      <c r="M6">
        <v>7</v>
      </c>
      <c r="N6">
        <v>133</v>
      </c>
      <c r="O6">
        <v>1.3599999999999999E-2</v>
      </c>
      <c r="P6">
        <v>0.1222</v>
      </c>
      <c r="Q6">
        <v>2.4</v>
      </c>
    </row>
    <row r="7" spans="1:26" x14ac:dyDescent="0.3">
      <c r="A7" s="1">
        <v>44932</v>
      </c>
      <c r="B7" t="s">
        <v>26</v>
      </c>
      <c r="C7">
        <v>1958</v>
      </c>
      <c r="D7">
        <v>37</v>
      </c>
      <c r="E7">
        <v>10</v>
      </c>
      <c r="F7">
        <v>113</v>
      </c>
      <c r="G7">
        <v>1.8599999999999998E-2</v>
      </c>
      <c r="H7">
        <v>0.28220000000000001</v>
      </c>
      <c r="I7">
        <v>3.08</v>
      </c>
      <c r="J7" t="s">
        <v>27</v>
      </c>
      <c r="K7">
        <v>4052</v>
      </c>
      <c r="L7">
        <v>51</v>
      </c>
      <c r="M7">
        <v>4</v>
      </c>
      <c r="N7">
        <v>135</v>
      </c>
      <c r="O7">
        <v>1.2500000000000001E-2</v>
      </c>
      <c r="P7">
        <v>6.9699999999999998E-2</v>
      </c>
      <c r="Q7">
        <v>2.65</v>
      </c>
    </row>
    <row r="8" spans="1:26" x14ac:dyDescent="0.3">
      <c r="A8" s="1">
        <v>44933</v>
      </c>
      <c r="B8" t="s">
        <v>26</v>
      </c>
      <c r="C8">
        <v>2941</v>
      </c>
      <c r="D8">
        <v>49</v>
      </c>
      <c r="E8">
        <v>15</v>
      </c>
      <c r="F8">
        <v>37</v>
      </c>
      <c r="G8">
        <v>1.66E-2</v>
      </c>
      <c r="H8">
        <v>0.30220000000000002</v>
      </c>
      <c r="I8">
        <v>0.76</v>
      </c>
      <c r="J8" t="s">
        <v>27</v>
      </c>
      <c r="K8">
        <v>3845</v>
      </c>
      <c r="L8">
        <v>66</v>
      </c>
      <c r="M8">
        <v>7</v>
      </c>
      <c r="N8">
        <v>90</v>
      </c>
      <c r="O8">
        <v>1.72E-2</v>
      </c>
      <c r="P8">
        <v>0.11070000000000001</v>
      </c>
      <c r="Q8">
        <v>1.37</v>
      </c>
    </row>
    <row r="9" spans="1:26" x14ac:dyDescent="0.3">
      <c r="A9" s="1">
        <v>44934</v>
      </c>
      <c r="B9" t="s">
        <v>26</v>
      </c>
      <c r="C9">
        <v>2805</v>
      </c>
      <c r="D9">
        <v>49</v>
      </c>
      <c r="E9">
        <v>12</v>
      </c>
      <c r="F9">
        <v>105</v>
      </c>
      <c r="G9">
        <v>1.7399999999999999E-2</v>
      </c>
      <c r="H9">
        <v>0.2409</v>
      </c>
      <c r="I9">
        <v>2.14</v>
      </c>
      <c r="J9" t="s">
        <v>27</v>
      </c>
      <c r="K9">
        <v>5147</v>
      </c>
      <c r="L9">
        <v>69</v>
      </c>
      <c r="M9">
        <v>4</v>
      </c>
      <c r="N9">
        <v>153</v>
      </c>
      <c r="O9">
        <v>1.34E-2</v>
      </c>
      <c r="P9">
        <v>6.4500000000000002E-2</v>
      </c>
      <c r="Q9">
        <v>2.2200000000000002</v>
      </c>
    </row>
    <row r="10" spans="1:26" x14ac:dyDescent="0.3">
      <c r="A10" s="1">
        <v>44935</v>
      </c>
      <c r="B10" t="s">
        <v>26</v>
      </c>
      <c r="C10">
        <v>2520</v>
      </c>
      <c r="D10">
        <v>36</v>
      </c>
      <c r="E10">
        <v>12</v>
      </c>
      <c r="F10">
        <v>96</v>
      </c>
      <c r="G10">
        <v>1.44E-2</v>
      </c>
      <c r="H10">
        <v>0.33739999999999998</v>
      </c>
      <c r="I10">
        <v>2.63</v>
      </c>
      <c r="J10" t="s">
        <v>27</v>
      </c>
      <c r="K10">
        <v>3861</v>
      </c>
      <c r="L10">
        <v>82</v>
      </c>
      <c r="M10">
        <v>9</v>
      </c>
      <c r="N10">
        <v>140</v>
      </c>
      <c r="O10">
        <v>2.12E-2</v>
      </c>
      <c r="P10">
        <v>0.11119999999999999</v>
      </c>
      <c r="Q10">
        <v>1.71</v>
      </c>
    </row>
    <row r="11" spans="1:26" x14ac:dyDescent="0.3">
      <c r="A11" s="1">
        <v>44936</v>
      </c>
      <c r="B11" t="s">
        <v>26</v>
      </c>
      <c r="C11">
        <v>1896</v>
      </c>
      <c r="D11">
        <v>41</v>
      </c>
      <c r="E11">
        <v>13</v>
      </c>
      <c r="F11">
        <v>62</v>
      </c>
      <c r="G11">
        <v>2.1499999999999998E-2</v>
      </c>
      <c r="H11">
        <v>0.32290000000000002</v>
      </c>
      <c r="I11">
        <v>1.53</v>
      </c>
      <c r="J11" t="s">
        <v>27</v>
      </c>
      <c r="K11">
        <v>4938</v>
      </c>
      <c r="L11">
        <v>48</v>
      </c>
      <c r="M11">
        <v>5</v>
      </c>
      <c r="N11">
        <v>147</v>
      </c>
      <c r="O11">
        <v>9.7999999999999997E-3</v>
      </c>
      <c r="P11">
        <v>0.1119</v>
      </c>
      <c r="Q11">
        <v>3.03</v>
      </c>
    </row>
    <row r="12" spans="1:26" x14ac:dyDescent="0.3">
      <c r="A12" s="1">
        <v>44937</v>
      </c>
      <c r="B12" t="s">
        <v>26</v>
      </c>
      <c r="C12">
        <v>1828</v>
      </c>
      <c r="D12">
        <v>51</v>
      </c>
      <c r="E12">
        <v>14</v>
      </c>
      <c r="F12">
        <v>41</v>
      </c>
      <c r="G12">
        <v>2.7799999999999998E-2</v>
      </c>
      <c r="H12">
        <v>0.27860000000000001</v>
      </c>
      <c r="I12">
        <v>0.8</v>
      </c>
      <c r="J12" t="s">
        <v>27</v>
      </c>
      <c r="K12">
        <v>4351</v>
      </c>
      <c r="L12">
        <v>58</v>
      </c>
      <c r="M12">
        <v>7</v>
      </c>
      <c r="N12">
        <v>84</v>
      </c>
      <c r="O12">
        <v>1.3299999999999999E-2</v>
      </c>
      <c r="P12">
        <v>0.1191</v>
      </c>
      <c r="Q12">
        <v>1.46</v>
      </c>
    </row>
    <row r="13" spans="1:26" x14ac:dyDescent="0.3">
      <c r="A13" s="1">
        <v>44938</v>
      </c>
      <c r="B13" t="s">
        <v>26</v>
      </c>
      <c r="C13">
        <v>1553</v>
      </c>
      <c r="D13">
        <v>56</v>
      </c>
      <c r="E13">
        <v>14</v>
      </c>
      <c r="F13">
        <v>123</v>
      </c>
      <c r="G13">
        <v>3.61E-2</v>
      </c>
      <c r="H13">
        <v>0.25359999999999999</v>
      </c>
      <c r="I13">
        <v>2.19</v>
      </c>
      <c r="J13" t="s">
        <v>27</v>
      </c>
      <c r="K13">
        <v>5442</v>
      </c>
      <c r="L13">
        <v>68</v>
      </c>
      <c r="M13">
        <v>8</v>
      </c>
      <c r="N13">
        <v>177</v>
      </c>
      <c r="O13">
        <v>1.2500000000000001E-2</v>
      </c>
      <c r="P13">
        <v>0.1237</v>
      </c>
      <c r="Q13">
        <v>2.61</v>
      </c>
    </row>
    <row r="14" spans="1:26" x14ac:dyDescent="0.3">
      <c r="A14" s="1">
        <v>44939</v>
      </c>
      <c r="B14" t="s">
        <v>26</v>
      </c>
      <c r="C14">
        <v>1699</v>
      </c>
      <c r="D14">
        <v>48</v>
      </c>
      <c r="E14">
        <v>12</v>
      </c>
      <c r="F14">
        <v>88</v>
      </c>
      <c r="G14">
        <v>2.8400000000000002E-2</v>
      </c>
      <c r="H14">
        <v>0.24149999999999999</v>
      </c>
      <c r="I14">
        <v>1.83</v>
      </c>
      <c r="J14" t="s">
        <v>27</v>
      </c>
      <c r="K14">
        <v>4283</v>
      </c>
      <c r="L14">
        <v>83</v>
      </c>
      <c r="M14">
        <v>7</v>
      </c>
      <c r="N14">
        <v>158</v>
      </c>
      <c r="O14">
        <v>1.9300000000000001E-2</v>
      </c>
      <c r="P14">
        <v>8.6300000000000002E-2</v>
      </c>
      <c r="Q14">
        <v>1.91</v>
      </c>
    </row>
    <row r="15" spans="1:26" x14ac:dyDescent="0.3">
      <c r="A15" s="1">
        <v>44940</v>
      </c>
      <c r="B15" t="s">
        <v>26</v>
      </c>
      <c r="C15">
        <v>1803</v>
      </c>
      <c r="D15">
        <v>42</v>
      </c>
      <c r="E15">
        <v>11</v>
      </c>
      <c r="F15">
        <v>67</v>
      </c>
      <c r="G15">
        <v>2.35E-2</v>
      </c>
      <c r="H15">
        <v>0.27079999999999999</v>
      </c>
      <c r="I15">
        <v>1.58</v>
      </c>
      <c r="J15" t="s">
        <v>27</v>
      </c>
      <c r="K15">
        <v>4060</v>
      </c>
      <c r="L15">
        <v>78</v>
      </c>
      <c r="M15">
        <v>9</v>
      </c>
      <c r="N15">
        <v>91</v>
      </c>
      <c r="O15">
        <v>1.9199999999999998E-2</v>
      </c>
      <c r="P15">
        <v>0.11409999999999999</v>
      </c>
      <c r="Q15">
        <v>1.1599999999999999</v>
      </c>
    </row>
    <row r="16" spans="1:26" x14ac:dyDescent="0.3">
      <c r="A16" s="1">
        <v>44941</v>
      </c>
      <c r="B16" t="s">
        <v>26</v>
      </c>
      <c r="C16">
        <v>1493</v>
      </c>
      <c r="D16">
        <v>56</v>
      </c>
      <c r="E16">
        <v>12</v>
      </c>
      <c r="F16">
        <v>59</v>
      </c>
      <c r="G16">
        <v>3.7400000000000003E-2</v>
      </c>
      <c r="H16">
        <v>0.21790000000000001</v>
      </c>
      <c r="I16">
        <v>1.05</v>
      </c>
      <c r="J16" t="s">
        <v>27</v>
      </c>
      <c r="K16">
        <v>3957</v>
      </c>
      <c r="L16">
        <v>36</v>
      </c>
      <c r="M16">
        <v>3</v>
      </c>
      <c r="N16">
        <v>165</v>
      </c>
      <c r="O16">
        <v>9.1000000000000004E-3</v>
      </c>
      <c r="P16">
        <v>7.7600000000000002E-2</v>
      </c>
      <c r="Q16">
        <v>4.55</v>
      </c>
    </row>
    <row r="17" spans="1:17" x14ac:dyDescent="0.3">
      <c r="A17" s="1">
        <v>44942</v>
      </c>
      <c r="B17" t="s">
        <v>26</v>
      </c>
      <c r="C17">
        <v>2493</v>
      </c>
      <c r="D17">
        <v>31</v>
      </c>
      <c r="E17">
        <v>7</v>
      </c>
      <c r="F17">
        <v>92</v>
      </c>
      <c r="G17">
        <v>1.23E-2</v>
      </c>
      <c r="H17">
        <v>0.2326</v>
      </c>
      <c r="I17">
        <v>3.01</v>
      </c>
      <c r="J17" t="s">
        <v>27</v>
      </c>
      <c r="K17">
        <v>3925</v>
      </c>
      <c r="L17">
        <v>48</v>
      </c>
      <c r="M17">
        <v>6</v>
      </c>
      <c r="N17">
        <v>96</v>
      </c>
      <c r="O17">
        <v>1.21E-2</v>
      </c>
      <c r="P17">
        <v>0.1341</v>
      </c>
      <c r="Q17">
        <v>2.02</v>
      </c>
    </row>
    <row r="18" spans="1:17" x14ac:dyDescent="0.3">
      <c r="A18" s="1">
        <v>44943</v>
      </c>
      <c r="B18" t="s">
        <v>26</v>
      </c>
      <c r="C18">
        <v>2903</v>
      </c>
      <c r="D18">
        <v>28</v>
      </c>
      <c r="E18">
        <v>10</v>
      </c>
      <c r="F18">
        <v>102</v>
      </c>
      <c r="G18">
        <v>9.7000000000000003E-3</v>
      </c>
      <c r="H18">
        <v>0.34129999999999999</v>
      </c>
      <c r="I18">
        <v>3.61</v>
      </c>
      <c r="J18" t="s">
        <v>27</v>
      </c>
      <c r="K18">
        <v>5147</v>
      </c>
      <c r="L18">
        <v>52</v>
      </c>
      <c r="M18">
        <v>5</v>
      </c>
      <c r="N18">
        <v>130</v>
      </c>
      <c r="O18">
        <v>1.0200000000000001E-2</v>
      </c>
      <c r="P18">
        <v>8.8200000000000001E-2</v>
      </c>
      <c r="Q18">
        <v>2.4900000000000002</v>
      </c>
    </row>
    <row r="19" spans="1:17" x14ac:dyDescent="0.3">
      <c r="A19" s="1">
        <v>44944</v>
      </c>
      <c r="B19" t="s">
        <v>26</v>
      </c>
      <c r="C19">
        <v>1916</v>
      </c>
      <c r="D19">
        <v>40</v>
      </c>
      <c r="E19">
        <v>13</v>
      </c>
      <c r="F19">
        <v>95</v>
      </c>
      <c r="G19">
        <v>2.0799999999999999E-2</v>
      </c>
      <c r="H19">
        <v>0.32529999999999998</v>
      </c>
      <c r="I19">
        <v>2.38</v>
      </c>
      <c r="J19" t="s">
        <v>27</v>
      </c>
      <c r="K19">
        <v>5412</v>
      </c>
      <c r="L19">
        <v>49</v>
      </c>
      <c r="M19">
        <v>6</v>
      </c>
      <c r="N19">
        <v>167</v>
      </c>
      <c r="O19">
        <v>8.9999999999999993E-3</v>
      </c>
      <c r="P19">
        <v>0.13200000000000001</v>
      </c>
      <c r="Q19">
        <v>3.43</v>
      </c>
    </row>
    <row r="20" spans="1:17" x14ac:dyDescent="0.3">
      <c r="A20" s="1">
        <v>44945</v>
      </c>
      <c r="B20" t="s">
        <v>26</v>
      </c>
      <c r="C20">
        <v>2805</v>
      </c>
      <c r="D20">
        <v>30</v>
      </c>
      <c r="E20">
        <v>8</v>
      </c>
      <c r="F20">
        <v>67</v>
      </c>
      <c r="G20">
        <v>1.06E-2</v>
      </c>
      <c r="H20">
        <v>0.26729999999999998</v>
      </c>
      <c r="I20">
        <v>2.27</v>
      </c>
      <c r="J20" t="s">
        <v>27</v>
      </c>
      <c r="K20">
        <v>4370</v>
      </c>
      <c r="L20">
        <v>68</v>
      </c>
      <c r="M20">
        <v>4</v>
      </c>
      <c r="N20">
        <v>165</v>
      </c>
      <c r="O20">
        <v>1.55E-2</v>
      </c>
      <c r="P20">
        <v>6.4699999999999994E-2</v>
      </c>
      <c r="Q20">
        <v>2.42</v>
      </c>
    </row>
    <row r="21" spans="1:17" x14ac:dyDescent="0.3">
      <c r="A21" s="1">
        <v>44946</v>
      </c>
      <c r="B21" t="s">
        <v>26</v>
      </c>
      <c r="C21">
        <v>2478</v>
      </c>
      <c r="D21">
        <v>50</v>
      </c>
      <c r="E21">
        <v>13</v>
      </c>
      <c r="F21">
        <v>66</v>
      </c>
      <c r="G21">
        <v>2.0199999999999999E-2</v>
      </c>
      <c r="H21">
        <v>0.26</v>
      </c>
      <c r="I21">
        <v>1.31</v>
      </c>
      <c r="J21" t="s">
        <v>27</v>
      </c>
      <c r="K21">
        <v>4580</v>
      </c>
      <c r="L21">
        <v>81</v>
      </c>
      <c r="M21">
        <v>7</v>
      </c>
      <c r="N21">
        <v>119</v>
      </c>
      <c r="O21">
        <v>1.77E-2</v>
      </c>
      <c r="P21">
        <v>8.7099999999999997E-2</v>
      </c>
      <c r="Q21">
        <v>1.47</v>
      </c>
    </row>
    <row r="22" spans="1:17" x14ac:dyDescent="0.3">
      <c r="A22" s="1">
        <v>44947</v>
      </c>
      <c r="B22" t="s">
        <v>26</v>
      </c>
      <c r="C22">
        <v>2365</v>
      </c>
      <c r="D22">
        <v>33</v>
      </c>
      <c r="E22">
        <v>8</v>
      </c>
      <c r="F22">
        <v>97</v>
      </c>
      <c r="G22">
        <v>1.3899999999999999E-2</v>
      </c>
      <c r="H22">
        <v>0.23050000000000001</v>
      </c>
      <c r="I22">
        <v>2.97</v>
      </c>
      <c r="J22" t="s">
        <v>27</v>
      </c>
      <c r="K22">
        <v>5259</v>
      </c>
      <c r="L22">
        <v>49</v>
      </c>
      <c r="M22">
        <v>3</v>
      </c>
      <c r="N22">
        <v>188</v>
      </c>
      <c r="O22">
        <v>9.4000000000000004E-3</v>
      </c>
      <c r="P22">
        <v>7.0199999999999999E-2</v>
      </c>
      <c r="Q22">
        <v>3.81</v>
      </c>
    </row>
    <row r="23" spans="1:17" x14ac:dyDescent="0.3">
      <c r="A23" s="1">
        <v>44948</v>
      </c>
      <c r="B23" t="s">
        <v>26</v>
      </c>
      <c r="C23">
        <v>3106</v>
      </c>
      <c r="D23">
        <v>46</v>
      </c>
      <c r="E23">
        <v>12</v>
      </c>
      <c r="F23">
        <v>102</v>
      </c>
      <c r="G23">
        <v>1.49E-2</v>
      </c>
      <c r="H23">
        <v>0.26469999999999999</v>
      </c>
      <c r="I23">
        <v>2.2000000000000002</v>
      </c>
      <c r="J23" t="s">
        <v>27</v>
      </c>
      <c r="K23">
        <v>4873</v>
      </c>
      <c r="L23">
        <v>43</v>
      </c>
      <c r="M23">
        <v>4</v>
      </c>
      <c r="N23">
        <v>148</v>
      </c>
      <c r="O23">
        <v>8.8000000000000005E-3</v>
      </c>
      <c r="P23">
        <v>9.6500000000000002E-2</v>
      </c>
      <c r="Q23">
        <v>3.43</v>
      </c>
    </row>
    <row r="24" spans="1:17" x14ac:dyDescent="0.3">
      <c r="A24" s="1">
        <v>44949</v>
      </c>
      <c r="B24" t="s">
        <v>26</v>
      </c>
      <c r="C24">
        <v>1796</v>
      </c>
      <c r="D24">
        <v>28</v>
      </c>
      <c r="E24">
        <v>10</v>
      </c>
      <c r="F24">
        <v>85</v>
      </c>
      <c r="G24">
        <v>1.55E-2</v>
      </c>
      <c r="H24">
        <v>0.34389999999999998</v>
      </c>
      <c r="I24">
        <v>3.04</v>
      </c>
      <c r="J24" t="s">
        <v>27</v>
      </c>
      <c r="K24">
        <v>5432</v>
      </c>
      <c r="L24">
        <v>63</v>
      </c>
      <c r="M24">
        <v>7</v>
      </c>
      <c r="N24">
        <v>112</v>
      </c>
      <c r="O24">
        <v>1.15E-2</v>
      </c>
      <c r="P24">
        <v>0.1138</v>
      </c>
      <c r="Q24">
        <v>1.79</v>
      </c>
    </row>
    <row r="25" spans="1:17" x14ac:dyDescent="0.3">
      <c r="A25" s="1">
        <v>44950</v>
      </c>
      <c r="B25" t="s">
        <v>26</v>
      </c>
      <c r="C25">
        <v>1932</v>
      </c>
      <c r="D25">
        <v>43</v>
      </c>
      <c r="E25">
        <v>12</v>
      </c>
      <c r="F25">
        <v>106</v>
      </c>
      <c r="G25">
        <v>2.2499999999999999E-2</v>
      </c>
      <c r="H25">
        <v>0.26910000000000001</v>
      </c>
      <c r="I25">
        <v>2.4500000000000002</v>
      </c>
      <c r="J25" t="s">
        <v>27</v>
      </c>
      <c r="K25">
        <v>3839</v>
      </c>
      <c r="L25">
        <v>80</v>
      </c>
      <c r="M25">
        <v>6</v>
      </c>
      <c r="N25">
        <v>151</v>
      </c>
      <c r="O25">
        <v>2.0799999999999999E-2</v>
      </c>
      <c r="P25">
        <v>7.51E-2</v>
      </c>
      <c r="Q25">
        <v>1.89</v>
      </c>
    </row>
    <row r="26" spans="1:17" x14ac:dyDescent="0.3">
      <c r="A26" s="1">
        <v>44951</v>
      </c>
      <c r="B26" t="s">
        <v>26</v>
      </c>
      <c r="C26">
        <v>1625</v>
      </c>
      <c r="D26">
        <v>52</v>
      </c>
      <c r="E26">
        <v>13</v>
      </c>
      <c r="F26">
        <v>50</v>
      </c>
      <c r="G26">
        <v>3.2099999999999997E-2</v>
      </c>
      <c r="H26">
        <v>0.25750000000000001</v>
      </c>
      <c r="I26">
        <v>0.96</v>
      </c>
      <c r="J26" t="s">
        <v>27</v>
      </c>
      <c r="K26">
        <v>3714</v>
      </c>
      <c r="L26">
        <v>50</v>
      </c>
      <c r="M26">
        <v>7</v>
      </c>
      <c r="N26">
        <v>141</v>
      </c>
      <c r="O26">
        <v>1.34E-2</v>
      </c>
      <c r="P26">
        <v>0.15049999999999999</v>
      </c>
      <c r="Q26">
        <v>2.82</v>
      </c>
    </row>
    <row r="27" spans="1:17" x14ac:dyDescent="0.3">
      <c r="A27" s="1">
        <v>44952</v>
      </c>
      <c r="B27" t="s">
        <v>26</v>
      </c>
      <c r="C27">
        <v>1845</v>
      </c>
      <c r="D27">
        <v>24</v>
      </c>
      <c r="E27">
        <v>6</v>
      </c>
      <c r="F27">
        <v>89</v>
      </c>
      <c r="G27">
        <v>1.29E-2</v>
      </c>
      <c r="H27">
        <v>0.24199999999999999</v>
      </c>
      <c r="I27">
        <v>3.73</v>
      </c>
      <c r="J27" t="s">
        <v>27</v>
      </c>
      <c r="K27">
        <v>5540</v>
      </c>
      <c r="L27">
        <v>53</v>
      </c>
      <c r="M27">
        <v>4</v>
      </c>
      <c r="N27">
        <v>177</v>
      </c>
      <c r="O27">
        <v>9.5999999999999992E-3</v>
      </c>
      <c r="P27">
        <v>6.88E-2</v>
      </c>
      <c r="Q27">
        <v>3.32</v>
      </c>
    </row>
    <row r="28" spans="1:17" x14ac:dyDescent="0.3">
      <c r="A28" s="1">
        <v>44953</v>
      </c>
      <c r="B28" t="s">
        <v>26</v>
      </c>
      <c r="C28">
        <v>2106</v>
      </c>
      <c r="D28">
        <v>45</v>
      </c>
      <c r="E28">
        <v>11</v>
      </c>
      <c r="F28">
        <v>111</v>
      </c>
      <c r="G28">
        <v>2.1600000000000001E-2</v>
      </c>
      <c r="H28">
        <v>0.24410000000000001</v>
      </c>
      <c r="I28">
        <v>2.44</v>
      </c>
      <c r="J28" t="s">
        <v>27</v>
      </c>
      <c r="K28">
        <v>5506</v>
      </c>
      <c r="L28">
        <v>77</v>
      </c>
      <c r="M28">
        <v>6</v>
      </c>
      <c r="N28">
        <v>126</v>
      </c>
      <c r="O28">
        <v>1.4E-2</v>
      </c>
      <c r="P28">
        <v>7.5899999999999995E-2</v>
      </c>
      <c r="Q28">
        <v>1.64</v>
      </c>
    </row>
    <row r="29" spans="1:17" x14ac:dyDescent="0.3">
      <c r="A29" s="1">
        <v>44954</v>
      </c>
      <c r="B29" t="s">
        <v>26</v>
      </c>
      <c r="C29">
        <v>2690</v>
      </c>
      <c r="D29">
        <v>55</v>
      </c>
      <c r="E29">
        <v>13</v>
      </c>
      <c r="F29">
        <v>51</v>
      </c>
      <c r="G29">
        <v>2.06E-2</v>
      </c>
      <c r="H29">
        <v>0.2361</v>
      </c>
      <c r="I29">
        <v>0.93</v>
      </c>
      <c r="J29" t="s">
        <v>27</v>
      </c>
      <c r="K29">
        <v>4152</v>
      </c>
      <c r="L29">
        <v>44</v>
      </c>
      <c r="M29">
        <v>7</v>
      </c>
      <c r="N29">
        <v>171</v>
      </c>
      <c r="O29">
        <v>1.06E-2</v>
      </c>
      <c r="P29">
        <v>0.16400000000000001</v>
      </c>
      <c r="Q29">
        <v>3.9</v>
      </c>
    </row>
    <row r="30" spans="1:17" x14ac:dyDescent="0.3">
      <c r="A30" s="1">
        <v>44955</v>
      </c>
      <c r="B30" t="s">
        <v>26</v>
      </c>
      <c r="C30">
        <v>1265</v>
      </c>
      <c r="D30">
        <v>43</v>
      </c>
      <c r="E30">
        <v>11</v>
      </c>
      <c r="F30">
        <v>43</v>
      </c>
      <c r="G30">
        <v>3.4299999999999997E-2</v>
      </c>
      <c r="H30">
        <v>0.24610000000000001</v>
      </c>
      <c r="I30">
        <v>0.98</v>
      </c>
      <c r="J30" t="s">
        <v>27</v>
      </c>
      <c r="K30">
        <v>4769</v>
      </c>
      <c r="L30">
        <v>78</v>
      </c>
      <c r="M30">
        <v>8</v>
      </c>
      <c r="N30">
        <v>82</v>
      </c>
      <c r="O30">
        <v>1.6299999999999999E-2</v>
      </c>
      <c r="P30">
        <v>0.1014</v>
      </c>
      <c r="Q30">
        <v>1.05</v>
      </c>
    </row>
    <row r="31" spans="1:17" x14ac:dyDescent="0.3">
      <c r="A31" s="1">
        <v>44956</v>
      </c>
      <c r="B31" t="s">
        <v>26</v>
      </c>
      <c r="C31">
        <v>2781</v>
      </c>
      <c r="D31">
        <v>28</v>
      </c>
      <c r="E31">
        <v>11</v>
      </c>
      <c r="F31">
        <v>84</v>
      </c>
      <c r="G31">
        <v>9.9000000000000008E-3</v>
      </c>
      <c r="H31">
        <v>0.38179999999999997</v>
      </c>
      <c r="I31">
        <v>3.06</v>
      </c>
      <c r="J31" t="s">
        <v>27</v>
      </c>
      <c r="K31">
        <v>5690</v>
      </c>
      <c r="L31">
        <v>42</v>
      </c>
      <c r="M31">
        <v>5</v>
      </c>
      <c r="N31">
        <v>95</v>
      </c>
      <c r="O31">
        <v>7.4000000000000003E-3</v>
      </c>
      <c r="P31">
        <v>0.1211</v>
      </c>
      <c r="Q31">
        <v>2.25</v>
      </c>
    </row>
    <row r="32" spans="1:17" x14ac:dyDescent="0.3">
      <c r="A32" s="1">
        <v>44957</v>
      </c>
      <c r="B32" t="s">
        <v>26</v>
      </c>
      <c r="C32">
        <v>2313</v>
      </c>
      <c r="D32">
        <v>31</v>
      </c>
      <c r="E32">
        <v>7</v>
      </c>
      <c r="F32">
        <v>82</v>
      </c>
      <c r="G32">
        <v>1.3299999999999999E-2</v>
      </c>
      <c r="H32">
        <v>0.23250000000000001</v>
      </c>
      <c r="I32">
        <v>2.65</v>
      </c>
      <c r="J32" t="s">
        <v>27</v>
      </c>
      <c r="K32">
        <v>4499</v>
      </c>
      <c r="L32">
        <v>50</v>
      </c>
      <c r="M32">
        <v>4</v>
      </c>
      <c r="N32">
        <v>192</v>
      </c>
      <c r="O32">
        <v>1.12E-2</v>
      </c>
      <c r="P32">
        <v>6.9800000000000001E-2</v>
      </c>
      <c r="Q32">
        <v>3.8</v>
      </c>
    </row>
    <row r="33" spans="1:17" x14ac:dyDescent="0.3">
      <c r="A33" s="1">
        <v>44958</v>
      </c>
      <c r="B33" t="s">
        <v>28</v>
      </c>
      <c r="C33">
        <v>2318</v>
      </c>
      <c r="D33">
        <v>25</v>
      </c>
      <c r="E33">
        <v>9</v>
      </c>
      <c r="F33">
        <v>86</v>
      </c>
      <c r="G33">
        <v>1.06E-2</v>
      </c>
      <c r="H33">
        <v>0.36259999999999998</v>
      </c>
      <c r="I33">
        <v>3.49</v>
      </c>
      <c r="J33" t="s">
        <v>29</v>
      </c>
      <c r="K33">
        <v>4051</v>
      </c>
      <c r="L33">
        <v>72</v>
      </c>
      <c r="M33">
        <v>6</v>
      </c>
      <c r="N33">
        <v>113</v>
      </c>
      <c r="O33">
        <v>1.78E-2</v>
      </c>
      <c r="P33">
        <v>7.7799999999999994E-2</v>
      </c>
      <c r="Q33">
        <v>1.56</v>
      </c>
    </row>
    <row r="34" spans="1:17" x14ac:dyDescent="0.3">
      <c r="A34" s="1">
        <v>44959</v>
      </c>
      <c r="B34" t="s">
        <v>28</v>
      </c>
      <c r="C34">
        <v>3004</v>
      </c>
      <c r="D34">
        <v>26</v>
      </c>
      <c r="E34">
        <v>7</v>
      </c>
      <c r="F34">
        <v>94</v>
      </c>
      <c r="G34">
        <v>8.8000000000000005E-3</v>
      </c>
      <c r="H34">
        <v>0.27600000000000002</v>
      </c>
      <c r="I34">
        <v>3.58</v>
      </c>
      <c r="J34" t="s">
        <v>29</v>
      </c>
      <c r="K34">
        <v>4788</v>
      </c>
      <c r="L34">
        <v>76</v>
      </c>
      <c r="M34">
        <v>6</v>
      </c>
      <c r="N34">
        <v>93</v>
      </c>
      <c r="O34">
        <v>1.5900000000000001E-2</v>
      </c>
      <c r="P34">
        <v>7.6200000000000004E-2</v>
      </c>
      <c r="Q34">
        <v>1.21</v>
      </c>
    </row>
    <row r="35" spans="1:17" x14ac:dyDescent="0.3">
      <c r="A35" s="1">
        <v>44960</v>
      </c>
      <c r="B35" t="s">
        <v>28</v>
      </c>
      <c r="C35">
        <v>2345</v>
      </c>
      <c r="D35">
        <v>25</v>
      </c>
      <c r="E35">
        <v>10</v>
      </c>
      <c r="F35">
        <v>143</v>
      </c>
      <c r="G35">
        <v>1.0800000000000001E-2</v>
      </c>
      <c r="H35">
        <v>0.39689999999999998</v>
      </c>
      <c r="I35">
        <v>5.63</v>
      </c>
      <c r="J35" t="s">
        <v>29</v>
      </c>
      <c r="K35">
        <v>4417</v>
      </c>
      <c r="L35">
        <v>41</v>
      </c>
      <c r="M35">
        <v>5</v>
      </c>
      <c r="N35">
        <v>112</v>
      </c>
      <c r="O35">
        <v>9.2999999999999992E-3</v>
      </c>
      <c r="P35">
        <v>0.1229</v>
      </c>
      <c r="Q35">
        <v>2.71</v>
      </c>
    </row>
    <row r="36" spans="1:17" x14ac:dyDescent="0.3">
      <c r="A36" s="1">
        <v>44961</v>
      </c>
      <c r="B36" t="s">
        <v>28</v>
      </c>
      <c r="C36">
        <v>1874</v>
      </c>
      <c r="D36">
        <v>56</v>
      </c>
      <c r="E36">
        <v>13</v>
      </c>
      <c r="F36">
        <v>48</v>
      </c>
      <c r="G36">
        <v>2.9899999999999999E-2</v>
      </c>
      <c r="H36">
        <v>0.23569999999999999</v>
      </c>
      <c r="I36">
        <v>0.86</v>
      </c>
      <c r="J36" t="s">
        <v>29</v>
      </c>
      <c r="K36">
        <v>4182</v>
      </c>
      <c r="L36">
        <v>49</v>
      </c>
      <c r="M36">
        <v>5</v>
      </c>
      <c r="N36">
        <v>147</v>
      </c>
      <c r="O36">
        <v>1.17E-2</v>
      </c>
      <c r="P36">
        <v>0.1115</v>
      </c>
      <c r="Q36">
        <v>3.02</v>
      </c>
    </row>
    <row r="37" spans="1:17" x14ac:dyDescent="0.3">
      <c r="A37" s="1">
        <v>44962</v>
      </c>
      <c r="B37" t="s">
        <v>28</v>
      </c>
      <c r="C37">
        <v>1359</v>
      </c>
      <c r="D37">
        <v>41</v>
      </c>
      <c r="E37">
        <v>11</v>
      </c>
      <c r="F37">
        <v>107</v>
      </c>
      <c r="G37">
        <v>3.0499999999999999E-2</v>
      </c>
      <c r="H37">
        <v>0.27250000000000002</v>
      </c>
      <c r="I37">
        <v>2.59</v>
      </c>
      <c r="J37" t="s">
        <v>29</v>
      </c>
      <c r="K37">
        <v>4168</v>
      </c>
      <c r="L37">
        <v>78</v>
      </c>
      <c r="M37">
        <v>9</v>
      </c>
      <c r="N37">
        <v>98</v>
      </c>
      <c r="O37">
        <v>1.8700000000000001E-2</v>
      </c>
      <c r="P37">
        <v>0.11409999999999999</v>
      </c>
      <c r="Q37">
        <v>1.26</v>
      </c>
    </row>
    <row r="38" spans="1:17" x14ac:dyDescent="0.3">
      <c r="A38" s="1">
        <v>44963</v>
      </c>
      <c r="B38" t="s">
        <v>28</v>
      </c>
      <c r="C38">
        <v>2109</v>
      </c>
      <c r="D38">
        <v>34</v>
      </c>
      <c r="E38">
        <v>9</v>
      </c>
      <c r="F38">
        <v>110</v>
      </c>
      <c r="G38">
        <v>1.5900000000000001E-2</v>
      </c>
      <c r="H38">
        <v>0.25950000000000001</v>
      </c>
      <c r="I38">
        <v>3.26</v>
      </c>
      <c r="J38" t="s">
        <v>29</v>
      </c>
      <c r="K38">
        <v>4426</v>
      </c>
      <c r="L38">
        <v>69</v>
      </c>
      <c r="M38">
        <v>7</v>
      </c>
      <c r="N38">
        <v>133</v>
      </c>
      <c r="O38">
        <v>1.5699999999999999E-2</v>
      </c>
      <c r="P38">
        <v>0.1077</v>
      </c>
      <c r="Q38">
        <v>1.92</v>
      </c>
    </row>
    <row r="39" spans="1:17" x14ac:dyDescent="0.3">
      <c r="A39" s="1">
        <v>44964</v>
      </c>
      <c r="B39" t="s">
        <v>28</v>
      </c>
      <c r="C39">
        <v>2799</v>
      </c>
      <c r="D39">
        <v>31</v>
      </c>
      <c r="E39">
        <v>10</v>
      </c>
      <c r="F39">
        <v>61</v>
      </c>
      <c r="G39">
        <v>1.12E-2</v>
      </c>
      <c r="H39">
        <v>0.32740000000000002</v>
      </c>
      <c r="I39">
        <v>1.94</v>
      </c>
      <c r="J39" t="s">
        <v>29</v>
      </c>
      <c r="K39">
        <v>4787</v>
      </c>
      <c r="L39">
        <v>58</v>
      </c>
      <c r="M39">
        <v>7</v>
      </c>
      <c r="N39">
        <v>171</v>
      </c>
      <c r="O39">
        <v>1.2200000000000001E-2</v>
      </c>
      <c r="P39">
        <v>0.1187</v>
      </c>
      <c r="Q39">
        <v>2.93</v>
      </c>
    </row>
    <row r="40" spans="1:17" x14ac:dyDescent="0.3">
      <c r="A40" s="1">
        <v>44965</v>
      </c>
      <c r="B40" t="s">
        <v>28</v>
      </c>
      <c r="C40">
        <v>1265</v>
      </c>
      <c r="D40">
        <v>41</v>
      </c>
      <c r="E40">
        <v>13</v>
      </c>
      <c r="F40">
        <v>86</v>
      </c>
      <c r="G40">
        <v>3.2500000000000001E-2</v>
      </c>
      <c r="H40">
        <v>0.32169999999999999</v>
      </c>
      <c r="I40">
        <v>2.09</v>
      </c>
      <c r="J40" t="s">
        <v>29</v>
      </c>
      <c r="K40">
        <v>5475</v>
      </c>
      <c r="L40">
        <v>48</v>
      </c>
      <c r="M40">
        <v>4</v>
      </c>
      <c r="N40">
        <v>120</v>
      </c>
      <c r="O40">
        <v>8.6999999999999994E-3</v>
      </c>
      <c r="P40">
        <v>9.1800000000000007E-2</v>
      </c>
      <c r="Q40">
        <v>2.5099999999999998</v>
      </c>
    </row>
    <row r="41" spans="1:17" x14ac:dyDescent="0.3">
      <c r="A41" s="1">
        <v>44966</v>
      </c>
      <c r="B41" t="s">
        <v>28</v>
      </c>
      <c r="C41">
        <v>2566</v>
      </c>
      <c r="D41">
        <v>41</v>
      </c>
      <c r="E41">
        <v>13</v>
      </c>
      <c r="F41">
        <v>64</v>
      </c>
      <c r="G41">
        <v>1.5800000000000002E-2</v>
      </c>
      <c r="H41">
        <v>0.32350000000000001</v>
      </c>
      <c r="I41">
        <v>1.58</v>
      </c>
      <c r="J41" t="s">
        <v>29</v>
      </c>
      <c r="K41">
        <v>4202</v>
      </c>
      <c r="L41">
        <v>44</v>
      </c>
      <c r="M41">
        <v>4</v>
      </c>
      <c r="N41">
        <v>100</v>
      </c>
      <c r="O41">
        <v>1.0500000000000001E-2</v>
      </c>
      <c r="P41">
        <v>9.5399999999999999E-2</v>
      </c>
      <c r="Q41">
        <v>2.2599999999999998</v>
      </c>
    </row>
    <row r="42" spans="1:17" x14ac:dyDescent="0.3">
      <c r="A42" s="1">
        <v>44967</v>
      </c>
      <c r="B42" t="s">
        <v>28</v>
      </c>
      <c r="C42">
        <v>2279</v>
      </c>
      <c r="D42">
        <v>35</v>
      </c>
      <c r="E42">
        <v>12</v>
      </c>
      <c r="F42">
        <v>92</v>
      </c>
      <c r="G42">
        <v>1.55E-2</v>
      </c>
      <c r="H42">
        <v>0.3412</v>
      </c>
      <c r="I42">
        <v>2.59</v>
      </c>
      <c r="J42" t="s">
        <v>29</v>
      </c>
      <c r="K42">
        <v>4614</v>
      </c>
      <c r="L42">
        <v>43</v>
      </c>
      <c r="M42">
        <v>5</v>
      </c>
      <c r="N42">
        <v>136</v>
      </c>
      <c r="O42">
        <v>9.4000000000000004E-3</v>
      </c>
      <c r="P42">
        <v>0.1195</v>
      </c>
      <c r="Q42">
        <v>3.14</v>
      </c>
    </row>
    <row r="43" spans="1:17" x14ac:dyDescent="0.3">
      <c r="A43" s="1">
        <v>44968</v>
      </c>
      <c r="B43" t="s">
        <v>28</v>
      </c>
      <c r="C43">
        <v>1781</v>
      </c>
      <c r="D43">
        <v>29</v>
      </c>
      <c r="E43">
        <v>9</v>
      </c>
      <c r="F43">
        <v>129</v>
      </c>
      <c r="G43">
        <v>1.61E-2</v>
      </c>
      <c r="H43">
        <v>0.30449999999999999</v>
      </c>
      <c r="I43">
        <v>4.49</v>
      </c>
      <c r="J43" t="s">
        <v>29</v>
      </c>
      <c r="K43">
        <v>4758</v>
      </c>
      <c r="L43">
        <v>71</v>
      </c>
      <c r="M43">
        <v>8</v>
      </c>
      <c r="N43">
        <v>132</v>
      </c>
      <c r="O43">
        <v>1.4800000000000001E-2</v>
      </c>
      <c r="P43">
        <v>0.1067</v>
      </c>
      <c r="Q43">
        <v>1.87</v>
      </c>
    </row>
    <row r="44" spans="1:17" x14ac:dyDescent="0.3">
      <c r="A44" s="1">
        <v>44969</v>
      </c>
      <c r="B44" t="s">
        <v>28</v>
      </c>
      <c r="C44">
        <v>2984</v>
      </c>
      <c r="D44">
        <v>54</v>
      </c>
      <c r="E44">
        <v>16</v>
      </c>
      <c r="F44">
        <v>121</v>
      </c>
      <c r="G44">
        <v>1.8200000000000001E-2</v>
      </c>
      <c r="H44">
        <v>0.29189999999999999</v>
      </c>
      <c r="I44">
        <v>2.2200000000000002</v>
      </c>
      <c r="J44" t="s">
        <v>29</v>
      </c>
      <c r="K44">
        <v>5119</v>
      </c>
      <c r="L44">
        <v>74</v>
      </c>
      <c r="M44">
        <v>5</v>
      </c>
      <c r="N44">
        <v>130</v>
      </c>
      <c r="O44">
        <v>1.4500000000000001E-2</v>
      </c>
      <c r="P44">
        <v>6.3500000000000001E-2</v>
      </c>
      <c r="Q44">
        <v>1.75</v>
      </c>
    </row>
    <row r="45" spans="1:17" x14ac:dyDescent="0.3">
      <c r="A45" s="1">
        <v>44970</v>
      </c>
      <c r="B45" t="s">
        <v>28</v>
      </c>
      <c r="C45">
        <v>2692</v>
      </c>
      <c r="D45">
        <v>40</v>
      </c>
      <c r="E45">
        <v>10</v>
      </c>
      <c r="F45">
        <v>34</v>
      </c>
      <c r="G45">
        <v>1.4800000000000001E-2</v>
      </c>
      <c r="H45">
        <v>0.25009999999999999</v>
      </c>
      <c r="I45">
        <v>0.86</v>
      </c>
      <c r="J45" t="s">
        <v>29</v>
      </c>
      <c r="K45">
        <v>4554</v>
      </c>
      <c r="L45">
        <v>74</v>
      </c>
      <c r="M45">
        <v>5</v>
      </c>
      <c r="N45">
        <v>113</v>
      </c>
      <c r="O45">
        <v>1.6199999999999999E-2</v>
      </c>
      <c r="P45">
        <v>6.3500000000000001E-2</v>
      </c>
      <c r="Q45">
        <v>1.52</v>
      </c>
    </row>
    <row r="46" spans="1:17" x14ac:dyDescent="0.3">
      <c r="A46" s="1">
        <v>44971</v>
      </c>
      <c r="B46" t="s">
        <v>28</v>
      </c>
      <c r="C46">
        <v>2517</v>
      </c>
      <c r="D46">
        <v>31</v>
      </c>
      <c r="E46">
        <v>8</v>
      </c>
      <c r="F46">
        <v>53</v>
      </c>
      <c r="G46">
        <v>1.21E-2</v>
      </c>
      <c r="H46">
        <v>0.2656</v>
      </c>
      <c r="I46">
        <v>1.72</v>
      </c>
      <c r="J46" t="s">
        <v>29</v>
      </c>
      <c r="K46">
        <v>5202</v>
      </c>
      <c r="L46">
        <v>80</v>
      </c>
      <c r="M46">
        <v>8</v>
      </c>
      <c r="N46">
        <v>102</v>
      </c>
      <c r="O46">
        <v>1.54E-2</v>
      </c>
      <c r="P46">
        <v>0.10009999999999999</v>
      </c>
      <c r="Q46">
        <v>1.27</v>
      </c>
    </row>
    <row r="47" spans="1:17" x14ac:dyDescent="0.3">
      <c r="A47" s="1">
        <v>44972</v>
      </c>
      <c r="B47" t="s">
        <v>28</v>
      </c>
      <c r="C47">
        <v>2116</v>
      </c>
      <c r="D47">
        <v>42</v>
      </c>
      <c r="E47">
        <v>10</v>
      </c>
      <c r="F47">
        <v>84</v>
      </c>
      <c r="G47">
        <v>1.9900000000000001E-2</v>
      </c>
      <c r="H47">
        <v>0.2475</v>
      </c>
      <c r="I47">
        <v>1.99</v>
      </c>
      <c r="J47" t="s">
        <v>29</v>
      </c>
      <c r="K47">
        <v>4157</v>
      </c>
      <c r="L47">
        <v>40</v>
      </c>
      <c r="M47">
        <v>3</v>
      </c>
      <c r="N47">
        <v>104</v>
      </c>
      <c r="O47">
        <v>9.7000000000000003E-3</v>
      </c>
      <c r="P47">
        <v>7.4899999999999994E-2</v>
      </c>
      <c r="Q47">
        <v>2.57</v>
      </c>
    </row>
    <row r="48" spans="1:17" x14ac:dyDescent="0.3">
      <c r="A48" s="1">
        <v>44973</v>
      </c>
      <c r="B48" t="s">
        <v>28</v>
      </c>
      <c r="C48">
        <v>3080</v>
      </c>
      <c r="D48">
        <v>26</v>
      </c>
      <c r="E48">
        <v>7</v>
      </c>
      <c r="F48">
        <v>53</v>
      </c>
      <c r="G48">
        <v>8.3000000000000001E-3</v>
      </c>
      <c r="H48">
        <v>0.27810000000000001</v>
      </c>
      <c r="I48">
        <v>2.09</v>
      </c>
      <c r="J48" t="s">
        <v>29</v>
      </c>
      <c r="K48">
        <v>4336</v>
      </c>
      <c r="L48">
        <v>63</v>
      </c>
      <c r="M48">
        <v>8</v>
      </c>
      <c r="N48">
        <v>154</v>
      </c>
      <c r="O48">
        <v>1.4500000000000001E-2</v>
      </c>
      <c r="P48">
        <v>0.12970000000000001</v>
      </c>
      <c r="Q48">
        <v>2.46</v>
      </c>
    </row>
    <row r="49" spans="1:17" x14ac:dyDescent="0.3">
      <c r="A49" s="1">
        <v>44974</v>
      </c>
      <c r="B49" t="s">
        <v>28</v>
      </c>
      <c r="C49">
        <v>2839</v>
      </c>
      <c r="D49">
        <v>31</v>
      </c>
      <c r="E49">
        <v>10</v>
      </c>
      <c r="F49">
        <v>113</v>
      </c>
      <c r="G49">
        <v>1.0999999999999999E-2</v>
      </c>
      <c r="H49">
        <v>0.3286</v>
      </c>
      <c r="I49">
        <v>3.62</v>
      </c>
      <c r="J49" t="s">
        <v>29</v>
      </c>
      <c r="K49">
        <v>3863</v>
      </c>
      <c r="L49">
        <v>36</v>
      </c>
      <c r="M49">
        <v>7</v>
      </c>
      <c r="N49">
        <v>172</v>
      </c>
      <c r="O49">
        <v>9.4000000000000004E-3</v>
      </c>
      <c r="P49">
        <v>0.18809999999999999</v>
      </c>
      <c r="Q49">
        <v>4.75</v>
      </c>
    </row>
    <row r="50" spans="1:17" x14ac:dyDescent="0.3">
      <c r="A50" s="1">
        <v>44975</v>
      </c>
      <c r="B50" t="s">
        <v>28</v>
      </c>
      <c r="C50">
        <v>3299</v>
      </c>
      <c r="D50">
        <v>31</v>
      </c>
      <c r="E50">
        <v>9</v>
      </c>
      <c r="F50">
        <v>115</v>
      </c>
      <c r="G50">
        <v>9.1999999999999998E-3</v>
      </c>
      <c r="H50">
        <v>0.2984</v>
      </c>
      <c r="I50">
        <v>3.78</v>
      </c>
      <c r="J50" t="s">
        <v>29</v>
      </c>
      <c r="K50">
        <v>4947</v>
      </c>
      <c r="L50">
        <v>74</v>
      </c>
      <c r="M50">
        <v>7</v>
      </c>
      <c r="N50">
        <v>173</v>
      </c>
      <c r="O50">
        <v>1.4999999999999999E-2</v>
      </c>
      <c r="P50">
        <v>9.0499999999999997E-2</v>
      </c>
      <c r="Q50">
        <v>2.34</v>
      </c>
    </row>
    <row r="51" spans="1:17" x14ac:dyDescent="0.3">
      <c r="A51" s="1">
        <v>44976</v>
      </c>
      <c r="B51" t="s">
        <v>28</v>
      </c>
      <c r="C51">
        <v>1531</v>
      </c>
      <c r="D51">
        <v>48</v>
      </c>
      <c r="E51">
        <v>11</v>
      </c>
      <c r="F51">
        <v>67</v>
      </c>
      <c r="G51">
        <v>3.1099999999999999E-2</v>
      </c>
      <c r="H51">
        <v>0.221</v>
      </c>
      <c r="I51">
        <v>1.41</v>
      </c>
      <c r="J51" t="s">
        <v>29</v>
      </c>
      <c r="K51">
        <v>5499</v>
      </c>
      <c r="L51">
        <v>62</v>
      </c>
      <c r="M51">
        <v>4</v>
      </c>
      <c r="N51">
        <v>155</v>
      </c>
      <c r="O51">
        <v>1.12E-2</v>
      </c>
      <c r="P51">
        <v>6.6199999999999995E-2</v>
      </c>
      <c r="Q51">
        <v>2.52</v>
      </c>
    </row>
    <row r="52" spans="1:17" x14ac:dyDescent="0.3">
      <c r="A52" s="1">
        <v>44977</v>
      </c>
      <c r="B52" t="s">
        <v>28</v>
      </c>
      <c r="C52">
        <v>2324</v>
      </c>
      <c r="D52">
        <v>34</v>
      </c>
      <c r="E52">
        <v>11</v>
      </c>
      <c r="F52">
        <v>46</v>
      </c>
      <c r="G52">
        <v>1.47E-2</v>
      </c>
      <c r="H52">
        <v>0.317</v>
      </c>
      <c r="I52">
        <v>1.34</v>
      </c>
      <c r="J52" t="s">
        <v>29</v>
      </c>
      <c r="K52">
        <v>5347</v>
      </c>
      <c r="L52">
        <v>67</v>
      </c>
      <c r="M52">
        <v>7</v>
      </c>
      <c r="N52">
        <v>97</v>
      </c>
      <c r="O52">
        <v>1.24E-2</v>
      </c>
      <c r="P52">
        <v>0.1101</v>
      </c>
      <c r="Q52">
        <v>1.46</v>
      </c>
    </row>
    <row r="53" spans="1:17" x14ac:dyDescent="0.3">
      <c r="A53" s="1">
        <v>44978</v>
      </c>
      <c r="B53" t="s">
        <v>28</v>
      </c>
      <c r="C53">
        <v>1063</v>
      </c>
      <c r="D53">
        <v>32</v>
      </c>
      <c r="E53">
        <v>8</v>
      </c>
      <c r="F53">
        <v>104</v>
      </c>
      <c r="G53">
        <v>3.0099999999999998E-2</v>
      </c>
      <c r="H53">
        <v>0.26250000000000001</v>
      </c>
      <c r="I53">
        <v>3.24</v>
      </c>
      <c r="J53" t="s">
        <v>29</v>
      </c>
      <c r="K53">
        <v>4711</v>
      </c>
      <c r="L53">
        <v>64</v>
      </c>
      <c r="M53">
        <v>7</v>
      </c>
      <c r="N53">
        <v>197</v>
      </c>
      <c r="O53">
        <v>1.35E-2</v>
      </c>
      <c r="P53">
        <v>0.1129</v>
      </c>
      <c r="Q53">
        <v>3.1</v>
      </c>
    </row>
    <row r="54" spans="1:17" x14ac:dyDescent="0.3">
      <c r="A54" s="1">
        <v>44979</v>
      </c>
      <c r="B54" t="s">
        <v>28</v>
      </c>
      <c r="C54">
        <v>3238</v>
      </c>
      <c r="D54">
        <v>48</v>
      </c>
      <c r="E54">
        <v>11</v>
      </c>
      <c r="F54">
        <v>119</v>
      </c>
      <c r="G54">
        <v>1.4800000000000001E-2</v>
      </c>
      <c r="H54">
        <v>0.22090000000000001</v>
      </c>
      <c r="I54">
        <v>2.4900000000000002</v>
      </c>
      <c r="J54" t="s">
        <v>29</v>
      </c>
      <c r="K54">
        <v>4702</v>
      </c>
      <c r="L54">
        <v>61</v>
      </c>
      <c r="M54">
        <v>8</v>
      </c>
      <c r="N54">
        <v>136</v>
      </c>
      <c r="O54">
        <v>1.29E-2</v>
      </c>
      <c r="P54">
        <v>0.13239999999999999</v>
      </c>
      <c r="Q54">
        <v>2.2400000000000002</v>
      </c>
    </row>
    <row r="55" spans="1:17" x14ac:dyDescent="0.3">
      <c r="A55" s="1">
        <v>44980</v>
      </c>
      <c r="B55" t="s">
        <v>28</v>
      </c>
      <c r="C55">
        <v>1662</v>
      </c>
      <c r="D55">
        <v>28</v>
      </c>
      <c r="E55">
        <v>7</v>
      </c>
      <c r="F55">
        <v>118</v>
      </c>
      <c r="G55">
        <v>1.6799999999999999E-2</v>
      </c>
      <c r="H55">
        <v>0.23569999999999999</v>
      </c>
      <c r="I55">
        <v>4.22</v>
      </c>
      <c r="J55" t="s">
        <v>29</v>
      </c>
      <c r="K55">
        <v>5254</v>
      </c>
      <c r="L55">
        <v>74</v>
      </c>
      <c r="M55">
        <v>5</v>
      </c>
      <c r="N55">
        <v>97</v>
      </c>
      <c r="O55">
        <v>1.4200000000000001E-2</v>
      </c>
      <c r="P55">
        <v>6.3399999999999998E-2</v>
      </c>
      <c r="Q55">
        <v>1.31</v>
      </c>
    </row>
    <row r="56" spans="1:17" x14ac:dyDescent="0.3">
      <c r="A56" s="1">
        <v>44981</v>
      </c>
      <c r="B56" t="s">
        <v>28</v>
      </c>
      <c r="C56">
        <v>1110</v>
      </c>
      <c r="D56">
        <v>51</v>
      </c>
      <c r="E56">
        <v>14</v>
      </c>
      <c r="F56">
        <v>67</v>
      </c>
      <c r="G56">
        <v>4.5499999999999999E-2</v>
      </c>
      <c r="H56">
        <v>0.2792</v>
      </c>
      <c r="I56">
        <v>1.33</v>
      </c>
      <c r="J56" t="s">
        <v>29</v>
      </c>
      <c r="K56">
        <v>4892</v>
      </c>
      <c r="L56">
        <v>71</v>
      </c>
      <c r="M56">
        <v>9</v>
      </c>
      <c r="N56">
        <v>144</v>
      </c>
      <c r="O56">
        <v>1.46E-2</v>
      </c>
      <c r="P56">
        <v>0.1201</v>
      </c>
      <c r="Q56">
        <v>2.0099999999999998</v>
      </c>
    </row>
    <row r="57" spans="1:17" x14ac:dyDescent="0.3">
      <c r="A57" s="1">
        <v>44982</v>
      </c>
      <c r="B57" t="s">
        <v>28</v>
      </c>
      <c r="C57">
        <v>3122</v>
      </c>
      <c r="D57">
        <v>44</v>
      </c>
      <c r="E57">
        <v>11</v>
      </c>
      <c r="F57">
        <v>70</v>
      </c>
      <c r="G57">
        <v>1.4200000000000001E-2</v>
      </c>
      <c r="H57">
        <v>0.24510000000000001</v>
      </c>
      <c r="I57">
        <v>1.59</v>
      </c>
      <c r="J57" t="s">
        <v>29</v>
      </c>
      <c r="K57">
        <v>4226</v>
      </c>
      <c r="L57">
        <v>52</v>
      </c>
      <c r="M57">
        <v>4</v>
      </c>
      <c r="N57">
        <v>152</v>
      </c>
      <c r="O57">
        <v>1.2200000000000001E-2</v>
      </c>
      <c r="P57">
        <v>6.9400000000000003E-2</v>
      </c>
      <c r="Q57">
        <v>2.94</v>
      </c>
    </row>
    <row r="58" spans="1:17" x14ac:dyDescent="0.3">
      <c r="A58" s="1">
        <v>44983</v>
      </c>
      <c r="B58" t="s">
        <v>28</v>
      </c>
      <c r="C58">
        <v>1647</v>
      </c>
      <c r="D58">
        <v>35</v>
      </c>
      <c r="E58">
        <v>12</v>
      </c>
      <c r="F58">
        <v>132</v>
      </c>
      <c r="G58">
        <v>2.1299999999999999E-2</v>
      </c>
      <c r="H58">
        <v>0.34289999999999998</v>
      </c>
      <c r="I58">
        <v>3.76</v>
      </c>
      <c r="J58" t="s">
        <v>29</v>
      </c>
      <c r="K58">
        <v>5466</v>
      </c>
      <c r="L58">
        <v>66</v>
      </c>
      <c r="M58">
        <v>7</v>
      </c>
      <c r="N58">
        <v>131</v>
      </c>
      <c r="O58">
        <v>1.2E-2</v>
      </c>
      <c r="P58">
        <v>0.1111</v>
      </c>
      <c r="Q58">
        <v>2</v>
      </c>
    </row>
    <row r="59" spans="1:17" x14ac:dyDescent="0.3">
      <c r="A59" s="1">
        <v>44984</v>
      </c>
      <c r="B59" t="s">
        <v>28</v>
      </c>
      <c r="C59">
        <v>1658</v>
      </c>
      <c r="D59">
        <v>55</v>
      </c>
      <c r="E59">
        <v>15</v>
      </c>
      <c r="F59">
        <v>112</v>
      </c>
      <c r="G59">
        <v>3.3300000000000003E-2</v>
      </c>
      <c r="H59">
        <v>0.27229999999999999</v>
      </c>
      <c r="I59">
        <v>2.02</v>
      </c>
      <c r="J59" t="s">
        <v>29</v>
      </c>
      <c r="K59">
        <v>5083</v>
      </c>
      <c r="L59">
        <v>47</v>
      </c>
      <c r="M59">
        <v>7</v>
      </c>
      <c r="N59">
        <v>103</v>
      </c>
      <c r="O59">
        <v>9.2999999999999992E-3</v>
      </c>
      <c r="P59">
        <v>0.15559999999999999</v>
      </c>
      <c r="Q59">
        <v>2.17</v>
      </c>
    </row>
    <row r="60" spans="1:17" x14ac:dyDescent="0.3">
      <c r="A60" s="1">
        <v>44985</v>
      </c>
      <c r="B60" t="s">
        <v>28</v>
      </c>
      <c r="C60">
        <v>3145</v>
      </c>
      <c r="D60">
        <v>54</v>
      </c>
      <c r="E60">
        <v>12</v>
      </c>
      <c r="F60">
        <v>69</v>
      </c>
      <c r="G60">
        <v>1.7299999999999999E-2</v>
      </c>
      <c r="H60">
        <v>0.21840000000000001</v>
      </c>
      <c r="I60">
        <v>1.27</v>
      </c>
      <c r="J60" t="s">
        <v>29</v>
      </c>
      <c r="K60">
        <v>3952</v>
      </c>
      <c r="L60">
        <v>32</v>
      </c>
      <c r="M60">
        <v>3</v>
      </c>
      <c r="N60">
        <v>152</v>
      </c>
      <c r="O60">
        <v>8.0999999999999996E-3</v>
      </c>
      <c r="P60">
        <v>8.1100000000000005E-2</v>
      </c>
      <c r="Q60">
        <v>4.7300000000000004</v>
      </c>
    </row>
    <row r="61" spans="1:17" x14ac:dyDescent="0.3">
      <c r="A61" s="1">
        <v>44986</v>
      </c>
      <c r="B61" t="s">
        <v>30</v>
      </c>
      <c r="C61">
        <v>3149</v>
      </c>
      <c r="D61">
        <v>46</v>
      </c>
      <c r="E61">
        <v>12</v>
      </c>
      <c r="F61">
        <v>93</v>
      </c>
      <c r="G61">
        <v>1.47E-2</v>
      </c>
      <c r="H61">
        <v>0.26469999999999999</v>
      </c>
      <c r="I61">
        <v>2.0099999999999998</v>
      </c>
      <c r="J61" t="s">
        <v>31</v>
      </c>
      <c r="K61">
        <v>4888</v>
      </c>
      <c r="L61">
        <v>68</v>
      </c>
      <c r="M61">
        <v>4</v>
      </c>
      <c r="N61">
        <v>151</v>
      </c>
      <c r="O61">
        <v>1.4E-2</v>
      </c>
      <c r="P61">
        <v>6.4600000000000005E-2</v>
      </c>
      <c r="Q61">
        <v>2.21</v>
      </c>
    </row>
    <row r="62" spans="1:17" x14ac:dyDescent="0.3">
      <c r="A62" s="1">
        <v>44987</v>
      </c>
      <c r="B62" t="s">
        <v>30</v>
      </c>
      <c r="C62">
        <v>1608</v>
      </c>
      <c r="D62">
        <v>57</v>
      </c>
      <c r="E62">
        <v>15</v>
      </c>
      <c r="F62">
        <v>92</v>
      </c>
      <c r="G62">
        <v>3.5499999999999997E-2</v>
      </c>
      <c r="H62">
        <v>0.27010000000000001</v>
      </c>
      <c r="I62">
        <v>1.61</v>
      </c>
      <c r="J62" t="s">
        <v>31</v>
      </c>
      <c r="K62">
        <v>3780</v>
      </c>
      <c r="L62">
        <v>51</v>
      </c>
      <c r="M62">
        <v>6</v>
      </c>
      <c r="N62">
        <v>149</v>
      </c>
      <c r="O62">
        <v>1.3599999999999999E-2</v>
      </c>
      <c r="P62">
        <v>0.1085</v>
      </c>
      <c r="Q62">
        <v>2.91</v>
      </c>
    </row>
    <row r="63" spans="1:17" x14ac:dyDescent="0.3">
      <c r="A63" s="1">
        <v>44988</v>
      </c>
      <c r="B63" t="s">
        <v>30</v>
      </c>
      <c r="C63">
        <v>1742</v>
      </c>
      <c r="D63">
        <v>28</v>
      </c>
      <c r="E63">
        <v>8</v>
      </c>
      <c r="F63">
        <v>118</v>
      </c>
      <c r="G63">
        <v>1.6199999999999999E-2</v>
      </c>
      <c r="H63">
        <v>0.2707</v>
      </c>
      <c r="I63">
        <v>4.17</v>
      </c>
      <c r="J63" t="s">
        <v>31</v>
      </c>
      <c r="K63">
        <v>3890</v>
      </c>
      <c r="L63">
        <v>42</v>
      </c>
      <c r="M63">
        <v>6</v>
      </c>
      <c r="N63">
        <v>141</v>
      </c>
      <c r="O63">
        <v>1.0800000000000001E-2</v>
      </c>
      <c r="P63">
        <v>0.1452</v>
      </c>
      <c r="Q63">
        <v>3.36</v>
      </c>
    </row>
    <row r="64" spans="1:17" x14ac:dyDescent="0.3">
      <c r="A64" s="1">
        <v>44989</v>
      </c>
      <c r="B64" t="s">
        <v>30</v>
      </c>
      <c r="C64">
        <v>2504</v>
      </c>
      <c r="D64">
        <v>40</v>
      </c>
      <c r="E64">
        <v>11</v>
      </c>
      <c r="F64">
        <v>59</v>
      </c>
      <c r="G64">
        <v>1.5800000000000002E-2</v>
      </c>
      <c r="H64">
        <v>0.27589999999999998</v>
      </c>
      <c r="I64">
        <v>1.51</v>
      </c>
      <c r="J64" t="s">
        <v>31</v>
      </c>
      <c r="K64">
        <v>4399</v>
      </c>
      <c r="L64">
        <v>50</v>
      </c>
      <c r="M64">
        <v>4</v>
      </c>
      <c r="N64">
        <v>169</v>
      </c>
      <c r="O64">
        <v>1.14E-2</v>
      </c>
      <c r="P64">
        <v>6.9900000000000004E-2</v>
      </c>
      <c r="Q64">
        <v>3.35</v>
      </c>
    </row>
    <row r="65" spans="1:17" x14ac:dyDescent="0.3">
      <c r="A65" s="1">
        <v>44990</v>
      </c>
      <c r="B65" t="s">
        <v>30</v>
      </c>
      <c r="C65">
        <v>2943</v>
      </c>
      <c r="D65">
        <v>43</v>
      </c>
      <c r="E65">
        <v>13</v>
      </c>
      <c r="F65">
        <v>40</v>
      </c>
      <c r="G65">
        <v>1.4500000000000001E-2</v>
      </c>
      <c r="H65">
        <v>0.29389999999999999</v>
      </c>
      <c r="I65">
        <v>0.93</v>
      </c>
      <c r="J65" t="s">
        <v>31</v>
      </c>
      <c r="K65">
        <v>4296</v>
      </c>
      <c r="L65">
        <v>56</v>
      </c>
      <c r="M65">
        <v>8</v>
      </c>
      <c r="N65">
        <v>131</v>
      </c>
      <c r="O65">
        <v>1.3100000000000001E-2</v>
      </c>
      <c r="P65">
        <v>0.1391</v>
      </c>
      <c r="Q65">
        <v>2.34</v>
      </c>
    </row>
    <row r="66" spans="1:17" x14ac:dyDescent="0.3">
      <c r="A66" s="1">
        <v>44991</v>
      </c>
      <c r="B66" t="s">
        <v>30</v>
      </c>
      <c r="C66">
        <v>2962</v>
      </c>
      <c r="D66">
        <v>51</v>
      </c>
      <c r="E66">
        <v>14</v>
      </c>
      <c r="F66">
        <v>92</v>
      </c>
      <c r="G66">
        <v>1.7299999999999999E-2</v>
      </c>
      <c r="H66">
        <v>0.27829999999999999</v>
      </c>
      <c r="I66">
        <v>1.8</v>
      </c>
      <c r="J66" t="s">
        <v>31</v>
      </c>
      <c r="K66">
        <v>5520</v>
      </c>
      <c r="L66">
        <v>71</v>
      </c>
      <c r="M66">
        <v>6</v>
      </c>
      <c r="N66">
        <v>110</v>
      </c>
      <c r="O66">
        <v>1.29E-2</v>
      </c>
      <c r="P66">
        <v>7.8100000000000003E-2</v>
      </c>
      <c r="Q66">
        <v>1.55</v>
      </c>
    </row>
    <row r="67" spans="1:17" x14ac:dyDescent="0.3">
      <c r="A67" s="1">
        <v>44992</v>
      </c>
      <c r="B67" t="s">
        <v>30</v>
      </c>
      <c r="C67">
        <v>1560</v>
      </c>
      <c r="D67">
        <v>44</v>
      </c>
      <c r="E67">
        <v>13</v>
      </c>
      <c r="F67">
        <v>99</v>
      </c>
      <c r="G67">
        <v>2.81E-2</v>
      </c>
      <c r="H67">
        <v>0.29110000000000003</v>
      </c>
      <c r="I67">
        <v>2.2599999999999998</v>
      </c>
      <c r="J67" t="s">
        <v>31</v>
      </c>
      <c r="K67">
        <v>4462</v>
      </c>
      <c r="L67">
        <v>33</v>
      </c>
      <c r="M67">
        <v>5</v>
      </c>
      <c r="N67">
        <v>126</v>
      </c>
      <c r="O67">
        <v>7.4000000000000003E-3</v>
      </c>
      <c r="P67">
        <v>0.14050000000000001</v>
      </c>
      <c r="Q67">
        <v>3.79</v>
      </c>
    </row>
    <row r="68" spans="1:17" x14ac:dyDescent="0.3">
      <c r="A68" s="1">
        <v>44993</v>
      </c>
      <c r="B68" t="s">
        <v>30</v>
      </c>
      <c r="C68">
        <v>1232</v>
      </c>
      <c r="D68">
        <v>24</v>
      </c>
      <c r="E68">
        <v>10</v>
      </c>
      <c r="F68">
        <v>142</v>
      </c>
      <c r="G68">
        <v>1.9699999999999999E-2</v>
      </c>
      <c r="H68">
        <v>0.40579999999999999</v>
      </c>
      <c r="I68">
        <v>5.84</v>
      </c>
      <c r="J68" t="s">
        <v>31</v>
      </c>
      <c r="K68">
        <v>4507</v>
      </c>
      <c r="L68">
        <v>70</v>
      </c>
      <c r="M68">
        <v>9</v>
      </c>
      <c r="N68">
        <v>99</v>
      </c>
      <c r="O68">
        <v>1.5599999999999999E-2</v>
      </c>
      <c r="P68">
        <v>0.1212</v>
      </c>
      <c r="Q68">
        <v>1.4</v>
      </c>
    </row>
    <row r="69" spans="1:17" x14ac:dyDescent="0.3">
      <c r="A69" s="1">
        <v>44994</v>
      </c>
      <c r="B69" t="s">
        <v>30</v>
      </c>
      <c r="C69">
        <v>1406</v>
      </c>
      <c r="D69">
        <v>29</v>
      </c>
      <c r="E69">
        <v>9</v>
      </c>
      <c r="F69">
        <v>107</v>
      </c>
      <c r="G69">
        <v>2.0400000000000001E-2</v>
      </c>
      <c r="H69">
        <v>0.30449999999999999</v>
      </c>
      <c r="I69">
        <v>3.71</v>
      </c>
      <c r="J69" t="s">
        <v>31</v>
      </c>
      <c r="K69">
        <v>3894</v>
      </c>
      <c r="L69">
        <v>33</v>
      </c>
      <c r="M69">
        <v>7</v>
      </c>
      <c r="N69">
        <v>185</v>
      </c>
      <c r="O69">
        <v>8.5000000000000006E-3</v>
      </c>
      <c r="P69">
        <v>0.2006</v>
      </c>
      <c r="Q69">
        <v>5.56</v>
      </c>
    </row>
    <row r="70" spans="1:17" x14ac:dyDescent="0.3">
      <c r="A70" s="1">
        <v>44995</v>
      </c>
      <c r="B70" t="s">
        <v>30</v>
      </c>
      <c r="C70">
        <v>1819</v>
      </c>
      <c r="D70">
        <v>22</v>
      </c>
      <c r="E70">
        <v>5</v>
      </c>
      <c r="F70">
        <v>96</v>
      </c>
      <c r="G70">
        <v>1.2200000000000001E-2</v>
      </c>
      <c r="H70">
        <v>0.245</v>
      </c>
      <c r="I70">
        <v>4.32</v>
      </c>
      <c r="J70" t="s">
        <v>31</v>
      </c>
      <c r="K70">
        <v>4507</v>
      </c>
      <c r="L70">
        <v>62</v>
      </c>
      <c r="M70">
        <v>5</v>
      </c>
      <c r="N70">
        <v>109</v>
      </c>
      <c r="O70">
        <v>1.37E-2</v>
      </c>
      <c r="P70">
        <v>8.2299999999999998E-2</v>
      </c>
      <c r="Q70">
        <v>1.76</v>
      </c>
    </row>
    <row r="71" spans="1:17" x14ac:dyDescent="0.3">
      <c r="A71" s="1">
        <v>44996</v>
      </c>
      <c r="B71" t="s">
        <v>30</v>
      </c>
      <c r="C71">
        <v>1097</v>
      </c>
      <c r="D71">
        <v>59</v>
      </c>
      <c r="E71">
        <v>15</v>
      </c>
      <c r="F71">
        <v>43</v>
      </c>
      <c r="G71">
        <v>5.3699999999999998E-2</v>
      </c>
      <c r="H71">
        <v>0.25090000000000001</v>
      </c>
      <c r="I71">
        <v>0.73</v>
      </c>
      <c r="J71" t="s">
        <v>31</v>
      </c>
      <c r="K71">
        <v>5154</v>
      </c>
      <c r="L71">
        <v>87</v>
      </c>
      <c r="M71">
        <v>5</v>
      </c>
      <c r="N71">
        <v>179</v>
      </c>
      <c r="O71">
        <v>1.6899999999999998E-2</v>
      </c>
      <c r="P71">
        <v>6.1499999999999999E-2</v>
      </c>
      <c r="Q71">
        <v>2.06</v>
      </c>
    </row>
    <row r="72" spans="1:17" x14ac:dyDescent="0.3">
      <c r="A72" s="1">
        <v>44997</v>
      </c>
      <c r="B72" t="s">
        <v>30</v>
      </c>
      <c r="C72">
        <v>1314</v>
      </c>
      <c r="D72">
        <v>43</v>
      </c>
      <c r="E72">
        <v>10</v>
      </c>
      <c r="F72">
        <v>105</v>
      </c>
      <c r="G72">
        <v>3.2899999999999999E-2</v>
      </c>
      <c r="H72">
        <v>0.22309999999999999</v>
      </c>
      <c r="I72">
        <v>2.44</v>
      </c>
      <c r="J72" t="s">
        <v>31</v>
      </c>
      <c r="K72">
        <v>4024</v>
      </c>
      <c r="L72">
        <v>65</v>
      </c>
      <c r="M72">
        <v>7</v>
      </c>
      <c r="N72">
        <v>99</v>
      </c>
      <c r="O72">
        <v>1.6E-2</v>
      </c>
      <c r="P72">
        <v>0.112</v>
      </c>
      <c r="Q72">
        <v>1.54</v>
      </c>
    </row>
    <row r="73" spans="1:17" x14ac:dyDescent="0.3">
      <c r="A73" s="1">
        <v>44998</v>
      </c>
      <c r="B73" t="s">
        <v>30</v>
      </c>
      <c r="C73">
        <v>1320</v>
      </c>
      <c r="D73">
        <v>61</v>
      </c>
      <c r="E73">
        <v>17</v>
      </c>
      <c r="F73">
        <v>118</v>
      </c>
      <c r="G73">
        <v>4.6300000000000001E-2</v>
      </c>
      <c r="H73">
        <v>0.28179999999999999</v>
      </c>
      <c r="I73">
        <v>1.93</v>
      </c>
      <c r="J73" t="s">
        <v>31</v>
      </c>
      <c r="K73">
        <v>4401</v>
      </c>
      <c r="L73">
        <v>60</v>
      </c>
      <c r="M73">
        <v>4</v>
      </c>
      <c r="N73">
        <v>133</v>
      </c>
      <c r="O73">
        <v>1.3599999999999999E-2</v>
      </c>
      <c r="P73">
        <v>6.6799999999999998E-2</v>
      </c>
      <c r="Q73">
        <v>2.23</v>
      </c>
    </row>
    <row r="74" spans="1:17" x14ac:dyDescent="0.3">
      <c r="A74" s="1">
        <v>44999</v>
      </c>
      <c r="B74" t="s">
        <v>30</v>
      </c>
      <c r="C74">
        <v>1783</v>
      </c>
      <c r="D74">
        <v>54</v>
      </c>
      <c r="E74">
        <v>15</v>
      </c>
      <c r="F74">
        <v>69</v>
      </c>
      <c r="G74">
        <v>3.0300000000000001E-2</v>
      </c>
      <c r="H74">
        <v>0.27389999999999998</v>
      </c>
      <c r="I74">
        <v>1.28</v>
      </c>
      <c r="J74" t="s">
        <v>31</v>
      </c>
      <c r="K74">
        <v>5493</v>
      </c>
      <c r="L74">
        <v>44</v>
      </c>
      <c r="M74">
        <v>5</v>
      </c>
      <c r="N74">
        <v>140</v>
      </c>
      <c r="O74">
        <v>8.0000000000000002E-3</v>
      </c>
      <c r="P74">
        <v>0.11849999999999999</v>
      </c>
      <c r="Q74">
        <v>3.19</v>
      </c>
    </row>
    <row r="75" spans="1:17" x14ac:dyDescent="0.3">
      <c r="A75" s="1">
        <v>45000</v>
      </c>
      <c r="B75" t="s">
        <v>30</v>
      </c>
      <c r="C75">
        <v>1200</v>
      </c>
      <c r="D75">
        <v>39</v>
      </c>
      <c r="E75">
        <v>9</v>
      </c>
      <c r="F75">
        <v>116</v>
      </c>
      <c r="G75">
        <v>3.2300000000000002E-2</v>
      </c>
      <c r="H75">
        <v>0.2258</v>
      </c>
      <c r="I75">
        <v>3</v>
      </c>
      <c r="J75" t="s">
        <v>31</v>
      </c>
      <c r="K75">
        <v>5031</v>
      </c>
      <c r="L75">
        <v>66</v>
      </c>
      <c r="M75">
        <v>8</v>
      </c>
      <c r="N75">
        <v>106</v>
      </c>
      <c r="O75">
        <v>1.3100000000000001E-2</v>
      </c>
      <c r="P75">
        <v>0.126</v>
      </c>
      <c r="Q75">
        <v>1.61</v>
      </c>
    </row>
    <row r="76" spans="1:17" x14ac:dyDescent="0.3">
      <c r="A76" s="1">
        <v>45001</v>
      </c>
      <c r="B76" t="s">
        <v>30</v>
      </c>
      <c r="C76">
        <v>2030</v>
      </c>
      <c r="D76">
        <v>33</v>
      </c>
      <c r="E76">
        <v>8</v>
      </c>
      <c r="F76">
        <v>131</v>
      </c>
      <c r="G76">
        <v>1.6299999999999999E-2</v>
      </c>
      <c r="H76">
        <v>0.23019999999999999</v>
      </c>
      <c r="I76">
        <v>3.96</v>
      </c>
      <c r="J76" t="s">
        <v>31</v>
      </c>
      <c r="K76">
        <v>5515</v>
      </c>
      <c r="L76">
        <v>58</v>
      </c>
      <c r="M76">
        <v>4</v>
      </c>
      <c r="N76">
        <v>80</v>
      </c>
      <c r="O76">
        <v>1.0500000000000001E-2</v>
      </c>
      <c r="P76">
        <v>6.7299999999999999E-2</v>
      </c>
      <c r="Q76">
        <v>1.39</v>
      </c>
    </row>
    <row r="77" spans="1:17" x14ac:dyDescent="0.3">
      <c r="A77" s="1">
        <v>45002</v>
      </c>
      <c r="B77" t="s">
        <v>30</v>
      </c>
      <c r="C77">
        <v>1890</v>
      </c>
      <c r="D77">
        <v>32</v>
      </c>
      <c r="E77">
        <v>9</v>
      </c>
      <c r="F77">
        <v>95</v>
      </c>
      <c r="G77">
        <v>1.7100000000000001E-2</v>
      </c>
      <c r="H77">
        <v>0.29289999999999999</v>
      </c>
      <c r="I77">
        <v>2.93</v>
      </c>
      <c r="J77" t="s">
        <v>31</v>
      </c>
      <c r="K77">
        <v>5498</v>
      </c>
      <c r="L77">
        <v>54</v>
      </c>
      <c r="M77">
        <v>4</v>
      </c>
      <c r="N77">
        <v>135</v>
      </c>
      <c r="O77">
        <v>9.9000000000000008E-3</v>
      </c>
      <c r="P77">
        <v>6.8400000000000002E-2</v>
      </c>
      <c r="Q77">
        <v>2.4900000000000002</v>
      </c>
    </row>
    <row r="78" spans="1:17" x14ac:dyDescent="0.3">
      <c r="A78" s="1">
        <v>45003</v>
      </c>
      <c r="B78" t="s">
        <v>30</v>
      </c>
      <c r="C78">
        <v>2772</v>
      </c>
      <c r="D78">
        <v>59</v>
      </c>
      <c r="E78">
        <v>17</v>
      </c>
      <c r="F78">
        <v>76</v>
      </c>
      <c r="G78">
        <v>2.1299999999999999E-2</v>
      </c>
      <c r="H78">
        <v>0.28460000000000002</v>
      </c>
      <c r="I78">
        <v>1.29</v>
      </c>
      <c r="J78" t="s">
        <v>31</v>
      </c>
      <c r="K78">
        <v>4667</v>
      </c>
      <c r="L78">
        <v>70</v>
      </c>
      <c r="M78">
        <v>7</v>
      </c>
      <c r="N78">
        <v>96</v>
      </c>
      <c r="O78">
        <v>1.49E-2</v>
      </c>
      <c r="P78">
        <v>0.1075</v>
      </c>
      <c r="Q78">
        <v>1.38</v>
      </c>
    </row>
    <row r="79" spans="1:17" x14ac:dyDescent="0.3">
      <c r="A79" s="1">
        <v>45004</v>
      </c>
      <c r="B79" t="s">
        <v>30</v>
      </c>
      <c r="C79">
        <v>1721</v>
      </c>
      <c r="D79">
        <v>28</v>
      </c>
      <c r="E79">
        <v>10</v>
      </c>
      <c r="F79">
        <v>115</v>
      </c>
      <c r="G79">
        <v>1.6E-2</v>
      </c>
      <c r="H79">
        <v>0.34489999999999998</v>
      </c>
      <c r="I79">
        <v>4.17</v>
      </c>
      <c r="J79" t="s">
        <v>31</v>
      </c>
      <c r="K79">
        <v>4237</v>
      </c>
      <c r="L79">
        <v>45</v>
      </c>
      <c r="M79">
        <v>4</v>
      </c>
      <c r="N79">
        <v>162</v>
      </c>
      <c r="O79">
        <v>1.06E-2</v>
      </c>
      <c r="P79">
        <v>9.4600000000000004E-2</v>
      </c>
      <c r="Q79">
        <v>3.61</v>
      </c>
    </row>
    <row r="80" spans="1:17" x14ac:dyDescent="0.3">
      <c r="A80" s="1">
        <v>45005</v>
      </c>
      <c r="B80" t="s">
        <v>30</v>
      </c>
      <c r="C80">
        <v>2049</v>
      </c>
      <c r="D80">
        <v>37</v>
      </c>
      <c r="E80">
        <v>12</v>
      </c>
      <c r="F80">
        <v>54</v>
      </c>
      <c r="G80">
        <v>1.7999999999999999E-2</v>
      </c>
      <c r="H80">
        <v>0.33550000000000002</v>
      </c>
      <c r="I80">
        <v>1.47</v>
      </c>
      <c r="J80" t="s">
        <v>31</v>
      </c>
      <c r="K80">
        <v>5089</v>
      </c>
      <c r="L80">
        <v>34</v>
      </c>
      <c r="M80">
        <v>4</v>
      </c>
      <c r="N80">
        <v>97</v>
      </c>
      <c r="O80">
        <v>6.7000000000000002E-3</v>
      </c>
      <c r="P80">
        <v>0.1085</v>
      </c>
      <c r="Q80">
        <v>2.85</v>
      </c>
    </row>
    <row r="81" spans="1:17" x14ac:dyDescent="0.3">
      <c r="A81" s="1">
        <v>45006</v>
      </c>
      <c r="B81" t="s">
        <v>30</v>
      </c>
      <c r="C81">
        <v>3051</v>
      </c>
      <c r="D81">
        <v>48</v>
      </c>
      <c r="E81">
        <v>11</v>
      </c>
      <c r="F81">
        <v>100</v>
      </c>
      <c r="G81">
        <v>1.5699999999999999E-2</v>
      </c>
      <c r="H81">
        <v>0.2208</v>
      </c>
      <c r="I81">
        <v>2.08</v>
      </c>
      <c r="J81" t="s">
        <v>31</v>
      </c>
      <c r="K81">
        <v>4239</v>
      </c>
      <c r="L81">
        <v>41</v>
      </c>
      <c r="M81">
        <v>6</v>
      </c>
      <c r="N81">
        <v>112</v>
      </c>
      <c r="O81">
        <v>9.7000000000000003E-3</v>
      </c>
      <c r="P81">
        <v>0.14760000000000001</v>
      </c>
      <c r="Q81">
        <v>2.74</v>
      </c>
    </row>
    <row r="82" spans="1:17" x14ac:dyDescent="0.3">
      <c r="A82" s="1">
        <v>45007</v>
      </c>
      <c r="B82" t="s">
        <v>30</v>
      </c>
      <c r="C82">
        <v>1086</v>
      </c>
      <c r="D82">
        <v>35</v>
      </c>
      <c r="E82">
        <v>11</v>
      </c>
      <c r="F82">
        <v>73</v>
      </c>
      <c r="G82">
        <v>3.2500000000000001E-2</v>
      </c>
      <c r="H82">
        <v>0.31330000000000002</v>
      </c>
      <c r="I82">
        <v>2.06</v>
      </c>
      <c r="J82" t="s">
        <v>31</v>
      </c>
      <c r="K82">
        <v>5077</v>
      </c>
      <c r="L82">
        <v>66</v>
      </c>
      <c r="M82">
        <v>4</v>
      </c>
      <c r="N82">
        <v>166</v>
      </c>
      <c r="O82">
        <v>1.29E-2</v>
      </c>
      <c r="P82">
        <v>6.5199999999999994E-2</v>
      </c>
      <c r="Q82">
        <v>2.52</v>
      </c>
    </row>
    <row r="83" spans="1:17" x14ac:dyDescent="0.3">
      <c r="A83" s="1">
        <v>45008</v>
      </c>
      <c r="B83" t="s">
        <v>30</v>
      </c>
      <c r="C83">
        <v>2217</v>
      </c>
      <c r="D83">
        <v>36</v>
      </c>
      <c r="E83">
        <v>11</v>
      </c>
      <c r="F83">
        <v>101</v>
      </c>
      <c r="G83">
        <v>1.6199999999999999E-2</v>
      </c>
      <c r="H83">
        <v>0.31109999999999999</v>
      </c>
      <c r="I83">
        <v>2.81</v>
      </c>
      <c r="J83" t="s">
        <v>31</v>
      </c>
      <c r="K83">
        <v>5169</v>
      </c>
      <c r="L83">
        <v>55</v>
      </c>
      <c r="M83">
        <v>8</v>
      </c>
      <c r="N83">
        <v>149</v>
      </c>
      <c r="O83">
        <v>1.0699999999999999E-2</v>
      </c>
      <c r="P83">
        <v>0.14030000000000001</v>
      </c>
      <c r="Q83">
        <v>2.68</v>
      </c>
    </row>
    <row r="84" spans="1:17" x14ac:dyDescent="0.3">
      <c r="A84" s="1">
        <v>45009</v>
      </c>
      <c r="B84" t="s">
        <v>30</v>
      </c>
      <c r="C84">
        <v>2320</v>
      </c>
      <c r="D84">
        <v>54</v>
      </c>
      <c r="E84">
        <v>12</v>
      </c>
      <c r="F84">
        <v>103</v>
      </c>
      <c r="G84">
        <v>2.3099999999999999E-2</v>
      </c>
      <c r="H84">
        <v>0.21870000000000001</v>
      </c>
      <c r="I84">
        <v>1.91</v>
      </c>
      <c r="J84" t="s">
        <v>31</v>
      </c>
      <c r="K84">
        <v>5249</v>
      </c>
      <c r="L84">
        <v>78</v>
      </c>
      <c r="M84">
        <v>9</v>
      </c>
      <c r="N84">
        <v>99</v>
      </c>
      <c r="O84">
        <v>1.4800000000000001E-2</v>
      </c>
      <c r="P84">
        <v>0.1142</v>
      </c>
      <c r="Q84">
        <v>1.27</v>
      </c>
    </row>
    <row r="85" spans="1:17" x14ac:dyDescent="0.3">
      <c r="A85" s="1">
        <v>45010</v>
      </c>
      <c r="B85" t="s">
        <v>30</v>
      </c>
      <c r="C85">
        <v>2279</v>
      </c>
      <c r="D85">
        <v>41</v>
      </c>
      <c r="E85">
        <v>10</v>
      </c>
      <c r="F85">
        <v>75</v>
      </c>
      <c r="G85">
        <v>1.7999999999999999E-2</v>
      </c>
      <c r="H85">
        <v>0.24879999999999999</v>
      </c>
      <c r="I85">
        <v>1.83</v>
      </c>
      <c r="J85" t="s">
        <v>31</v>
      </c>
      <c r="K85">
        <v>5598</v>
      </c>
      <c r="L85">
        <v>41</v>
      </c>
      <c r="M85">
        <v>3</v>
      </c>
      <c r="N85">
        <v>159</v>
      </c>
      <c r="O85">
        <v>7.3000000000000001E-3</v>
      </c>
      <c r="P85">
        <v>7.4499999999999997E-2</v>
      </c>
      <c r="Q85">
        <v>3.89</v>
      </c>
    </row>
    <row r="86" spans="1:17" x14ac:dyDescent="0.3">
      <c r="A86" s="1">
        <v>45011</v>
      </c>
      <c r="B86" t="s">
        <v>30</v>
      </c>
      <c r="C86">
        <v>3169</v>
      </c>
      <c r="D86">
        <v>40</v>
      </c>
      <c r="E86">
        <v>13</v>
      </c>
      <c r="F86">
        <v>107</v>
      </c>
      <c r="G86">
        <v>1.2500000000000001E-2</v>
      </c>
      <c r="H86">
        <v>0.3266</v>
      </c>
      <c r="I86">
        <v>2.7</v>
      </c>
      <c r="J86" t="s">
        <v>31</v>
      </c>
      <c r="K86">
        <v>3894</v>
      </c>
      <c r="L86">
        <v>68</v>
      </c>
      <c r="M86">
        <v>5</v>
      </c>
      <c r="N86">
        <v>182</v>
      </c>
      <c r="O86">
        <v>1.7399999999999999E-2</v>
      </c>
      <c r="P86">
        <v>7.9500000000000001E-2</v>
      </c>
      <c r="Q86">
        <v>2.68</v>
      </c>
    </row>
    <row r="87" spans="1:17" x14ac:dyDescent="0.3">
      <c r="A87" s="1">
        <v>45012</v>
      </c>
      <c r="B87" t="s">
        <v>30</v>
      </c>
      <c r="C87">
        <v>1292</v>
      </c>
      <c r="D87">
        <v>36</v>
      </c>
      <c r="E87">
        <v>9</v>
      </c>
      <c r="F87">
        <v>140</v>
      </c>
      <c r="G87">
        <v>2.8199999999999999E-2</v>
      </c>
      <c r="H87">
        <v>0.25490000000000002</v>
      </c>
      <c r="I87">
        <v>3.84</v>
      </c>
      <c r="J87" t="s">
        <v>31</v>
      </c>
      <c r="K87">
        <v>4192</v>
      </c>
      <c r="L87">
        <v>74</v>
      </c>
      <c r="M87">
        <v>7</v>
      </c>
      <c r="N87">
        <v>109</v>
      </c>
      <c r="O87">
        <v>1.78E-2</v>
      </c>
      <c r="P87">
        <v>9.0300000000000005E-2</v>
      </c>
      <c r="Q87">
        <v>1.47</v>
      </c>
    </row>
    <row r="88" spans="1:17" x14ac:dyDescent="0.3">
      <c r="A88" s="1">
        <v>45013</v>
      </c>
      <c r="B88" t="s">
        <v>30</v>
      </c>
      <c r="C88">
        <v>2390</v>
      </c>
      <c r="D88">
        <v>39</v>
      </c>
      <c r="E88">
        <v>10</v>
      </c>
      <c r="F88">
        <v>110</v>
      </c>
      <c r="G88">
        <v>1.6199999999999999E-2</v>
      </c>
      <c r="H88">
        <v>0.2515</v>
      </c>
      <c r="I88">
        <v>2.83</v>
      </c>
      <c r="J88" t="s">
        <v>31</v>
      </c>
      <c r="K88">
        <v>3959</v>
      </c>
      <c r="L88">
        <v>62</v>
      </c>
      <c r="M88">
        <v>5</v>
      </c>
      <c r="N88">
        <v>83</v>
      </c>
      <c r="O88">
        <v>1.5599999999999999E-2</v>
      </c>
      <c r="P88">
        <v>8.2299999999999998E-2</v>
      </c>
      <c r="Q88">
        <v>1.34</v>
      </c>
    </row>
    <row r="89" spans="1:17" x14ac:dyDescent="0.3">
      <c r="A89" s="1">
        <v>45014</v>
      </c>
      <c r="B89" t="s">
        <v>30</v>
      </c>
      <c r="C89">
        <v>1845</v>
      </c>
      <c r="D89">
        <v>25</v>
      </c>
      <c r="E89">
        <v>6</v>
      </c>
      <c r="F89">
        <v>71</v>
      </c>
      <c r="G89">
        <v>1.34E-2</v>
      </c>
      <c r="H89">
        <v>0.24030000000000001</v>
      </c>
      <c r="I89">
        <v>2.88</v>
      </c>
      <c r="J89" t="s">
        <v>31</v>
      </c>
      <c r="K89">
        <v>5200</v>
      </c>
      <c r="L89">
        <v>40</v>
      </c>
      <c r="M89">
        <v>5</v>
      </c>
      <c r="N89">
        <v>159</v>
      </c>
      <c r="O89">
        <v>7.7000000000000002E-3</v>
      </c>
      <c r="P89">
        <v>0.12529999999999999</v>
      </c>
      <c r="Q89">
        <v>3.98</v>
      </c>
    </row>
    <row r="90" spans="1:17" x14ac:dyDescent="0.3">
      <c r="A90" s="1">
        <v>45015</v>
      </c>
      <c r="B90" t="s">
        <v>30</v>
      </c>
      <c r="C90">
        <v>2202</v>
      </c>
      <c r="D90">
        <v>41</v>
      </c>
      <c r="E90">
        <v>11</v>
      </c>
      <c r="F90">
        <v>115</v>
      </c>
      <c r="G90">
        <v>1.8800000000000001E-2</v>
      </c>
      <c r="H90">
        <v>0.27250000000000002</v>
      </c>
      <c r="I90">
        <v>2.79</v>
      </c>
      <c r="J90" t="s">
        <v>31</v>
      </c>
      <c r="K90">
        <v>3826</v>
      </c>
      <c r="L90">
        <v>67</v>
      </c>
      <c r="M90">
        <v>5</v>
      </c>
      <c r="N90">
        <v>100</v>
      </c>
      <c r="O90">
        <v>1.7399999999999999E-2</v>
      </c>
      <c r="P90">
        <v>8.0100000000000005E-2</v>
      </c>
      <c r="Q90">
        <v>1.51</v>
      </c>
    </row>
    <row r="91" spans="1:17" x14ac:dyDescent="0.3">
      <c r="A91" s="1">
        <v>45016</v>
      </c>
      <c r="B91" t="s">
        <v>30</v>
      </c>
      <c r="C91">
        <v>2895</v>
      </c>
      <c r="D91">
        <v>42</v>
      </c>
      <c r="E91">
        <v>11</v>
      </c>
      <c r="F91">
        <v>48</v>
      </c>
      <c r="G91">
        <v>1.44E-2</v>
      </c>
      <c r="H91">
        <v>0.27189999999999998</v>
      </c>
      <c r="I91">
        <v>1.1599999999999999</v>
      </c>
      <c r="J91" t="s">
        <v>31</v>
      </c>
      <c r="K91">
        <v>5082</v>
      </c>
      <c r="L91">
        <v>79</v>
      </c>
      <c r="M91">
        <v>9</v>
      </c>
      <c r="N91">
        <v>148</v>
      </c>
      <c r="O91">
        <v>1.55E-2</v>
      </c>
      <c r="P91">
        <v>0.1135</v>
      </c>
      <c r="Q91">
        <v>1.88</v>
      </c>
    </row>
    <row r="92" spans="1:17" x14ac:dyDescent="0.3">
      <c r="A92" s="1">
        <v>45017</v>
      </c>
      <c r="B92" t="s">
        <v>32</v>
      </c>
      <c r="C92">
        <v>2628</v>
      </c>
      <c r="D92">
        <v>30</v>
      </c>
      <c r="E92">
        <v>7</v>
      </c>
      <c r="F92">
        <v>99</v>
      </c>
      <c r="G92">
        <v>1.1299999999999999E-2</v>
      </c>
      <c r="H92">
        <v>0.23380000000000001</v>
      </c>
      <c r="I92">
        <v>3.35</v>
      </c>
      <c r="J92" t="s">
        <v>33</v>
      </c>
      <c r="K92">
        <v>4372</v>
      </c>
      <c r="L92">
        <v>59</v>
      </c>
      <c r="M92">
        <v>5</v>
      </c>
      <c r="N92">
        <v>140</v>
      </c>
      <c r="O92">
        <v>1.35E-2</v>
      </c>
      <c r="P92">
        <v>8.3799999999999999E-2</v>
      </c>
      <c r="Q92">
        <v>2.36</v>
      </c>
    </row>
    <row r="93" spans="1:17" x14ac:dyDescent="0.3">
      <c r="A93" s="1">
        <v>45018</v>
      </c>
      <c r="B93" t="s">
        <v>32</v>
      </c>
      <c r="C93">
        <v>1910</v>
      </c>
      <c r="D93">
        <v>39</v>
      </c>
      <c r="E93">
        <v>10</v>
      </c>
      <c r="F93">
        <v>59</v>
      </c>
      <c r="G93">
        <v>2.0500000000000001E-2</v>
      </c>
      <c r="H93">
        <v>0.251</v>
      </c>
      <c r="I93">
        <v>1.51</v>
      </c>
      <c r="J93" t="s">
        <v>33</v>
      </c>
      <c r="K93">
        <v>4846</v>
      </c>
      <c r="L93">
        <v>73</v>
      </c>
      <c r="M93">
        <v>9</v>
      </c>
      <c r="N93">
        <v>113</v>
      </c>
      <c r="O93">
        <v>1.4999999999999999E-2</v>
      </c>
      <c r="P93">
        <v>0.11890000000000001</v>
      </c>
      <c r="Q93">
        <v>1.56</v>
      </c>
    </row>
    <row r="94" spans="1:17" x14ac:dyDescent="0.3">
      <c r="A94" s="1">
        <v>45019</v>
      </c>
      <c r="B94" t="s">
        <v>32</v>
      </c>
      <c r="C94">
        <v>2700</v>
      </c>
      <c r="D94">
        <v>34</v>
      </c>
      <c r="E94">
        <v>12</v>
      </c>
      <c r="F94">
        <v>43</v>
      </c>
      <c r="G94">
        <v>1.26E-2</v>
      </c>
      <c r="H94">
        <v>0.34660000000000002</v>
      </c>
      <c r="I94">
        <v>1.26</v>
      </c>
      <c r="J94" t="s">
        <v>33</v>
      </c>
      <c r="K94">
        <v>3867</v>
      </c>
      <c r="L94">
        <v>56</v>
      </c>
      <c r="M94">
        <v>7</v>
      </c>
      <c r="N94">
        <v>171</v>
      </c>
      <c r="O94">
        <v>1.46E-2</v>
      </c>
      <c r="P94">
        <v>0.121</v>
      </c>
      <c r="Q94">
        <v>3.03</v>
      </c>
    </row>
    <row r="95" spans="1:17" x14ac:dyDescent="0.3">
      <c r="A95" s="1">
        <v>45020</v>
      </c>
      <c r="B95" t="s">
        <v>32</v>
      </c>
      <c r="C95">
        <v>1558</v>
      </c>
      <c r="D95">
        <v>52</v>
      </c>
      <c r="E95">
        <v>14</v>
      </c>
      <c r="F95">
        <v>65</v>
      </c>
      <c r="G95">
        <v>3.3399999999999999E-2</v>
      </c>
      <c r="H95">
        <v>0.27689999999999998</v>
      </c>
      <c r="I95">
        <v>1.25</v>
      </c>
      <c r="J95" t="s">
        <v>33</v>
      </c>
      <c r="K95">
        <v>4501</v>
      </c>
      <c r="L95">
        <v>82</v>
      </c>
      <c r="M95">
        <v>5</v>
      </c>
      <c r="N95">
        <v>117</v>
      </c>
      <c r="O95">
        <v>1.8200000000000001E-2</v>
      </c>
      <c r="P95">
        <v>6.2199999999999998E-2</v>
      </c>
      <c r="Q95">
        <v>1.43</v>
      </c>
    </row>
    <row r="96" spans="1:17" x14ac:dyDescent="0.3">
      <c r="A96" s="1">
        <v>45021</v>
      </c>
      <c r="B96" t="s">
        <v>32</v>
      </c>
      <c r="C96">
        <v>1149</v>
      </c>
      <c r="D96">
        <v>53</v>
      </c>
      <c r="E96">
        <v>13</v>
      </c>
      <c r="F96">
        <v>126</v>
      </c>
      <c r="G96">
        <v>4.6100000000000002E-2</v>
      </c>
      <c r="H96">
        <v>0.23769999999999999</v>
      </c>
      <c r="I96">
        <v>2.38</v>
      </c>
      <c r="J96" t="s">
        <v>33</v>
      </c>
      <c r="K96">
        <v>4690</v>
      </c>
      <c r="L96">
        <v>62</v>
      </c>
      <c r="M96">
        <v>5</v>
      </c>
      <c r="N96">
        <v>157</v>
      </c>
      <c r="O96">
        <v>1.32E-2</v>
      </c>
      <c r="P96">
        <v>8.2400000000000001E-2</v>
      </c>
      <c r="Q96">
        <v>2.54</v>
      </c>
    </row>
    <row r="97" spans="1:17" x14ac:dyDescent="0.3">
      <c r="A97" s="1">
        <v>45022</v>
      </c>
      <c r="B97" t="s">
        <v>32</v>
      </c>
      <c r="C97">
        <v>2703</v>
      </c>
      <c r="D97">
        <v>35</v>
      </c>
      <c r="E97">
        <v>9</v>
      </c>
      <c r="F97">
        <v>102</v>
      </c>
      <c r="G97">
        <v>1.2800000000000001E-2</v>
      </c>
      <c r="H97">
        <v>0.2576</v>
      </c>
      <c r="I97">
        <v>2.94</v>
      </c>
      <c r="J97" t="s">
        <v>33</v>
      </c>
      <c r="K97">
        <v>4692</v>
      </c>
      <c r="L97">
        <v>76</v>
      </c>
      <c r="M97">
        <v>6</v>
      </c>
      <c r="N97">
        <v>182</v>
      </c>
      <c r="O97">
        <v>1.6199999999999999E-2</v>
      </c>
      <c r="P97">
        <v>7.6399999999999996E-2</v>
      </c>
      <c r="Q97">
        <v>2.4</v>
      </c>
    </row>
    <row r="98" spans="1:17" x14ac:dyDescent="0.3">
      <c r="A98" s="1">
        <v>45023</v>
      </c>
      <c r="B98" t="s">
        <v>32</v>
      </c>
      <c r="C98">
        <v>2970</v>
      </c>
      <c r="D98">
        <v>44</v>
      </c>
      <c r="E98">
        <v>10</v>
      </c>
      <c r="F98">
        <v>108</v>
      </c>
      <c r="G98">
        <v>1.49E-2</v>
      </c>
      <c r="H98">
        <v>0.2225</v>
      </c>
      <c r="I98">
        <v>2.4300000000000002</v>
      </c>
      <c r="J98" t="s">
        <v>33</v>
      </c>
      <c r="K98">
        <v>3867</v>
      </c>
      <c r="L98">
        <v>35</v>
      </c>
      <c r="M98">
        <v>5</v>
      </c>
      <c r="N98">
        <v>114</v>
      </c>
      <c r="O98">
        <v>9.1000000000000004E-3</v>
      </c>
      <c r="P98">
        <v>0.13519999999999999</v>
      </c>
      <c r="Q98">
        <v>3.23</v>
      </c>
    </row>
    <row r="99" spans="1:17" x14ac:dyDescent="0.3">
      <c r="A99" s="1">
        <v>45024</v>
      </c>
      <c r="B99" t="s">
        <v>32</v>
      </c>
      <c r="C99">
        <v>1768</v>
      </c>
      <c r="D99">
        <v>26</v>
      </c>
      <c r="E99">
        <v>6</v>
      </c>
      <c r="F99">
        <v>58</v>
      </c>
      <c r="G99">
        <v>1.4800000000000001E-2</v>
      </c>
      <c r="H99">
        <v>0.23830000000000001</v>
      </c>
      <c r="I99">
        <v>2.23</v>
      </c>
      <c r="J99" t="s">
        <v>33</v>
      </c>
      <c r="K99">
        <v>4604</v>
      </c>
      <c r="L99">
        <v>61</v>
      </c>
      <c r="M99">
        <v>4</v>
      </c>
      <c r="N99">
        <v>122</v>
      </c>
      <c r="O99">
        <v>1.32E-2</v>
      </c>
      <c r="P99">
        <v>6.6400000000000001E-2</v>
      </c>
      <c r="Q99">
        <v>2</v>
      </c>
    </row>
    <row r="100" spans="1:17" x14ac:dyDescent="0.3">
      <c r="A100" s="1">
        <v>45025</v>
      </c>
      <c r="B100" t="s">
        <v>32</v>
      </c>
      <c r="C100">
        <v>2888</v>
      </c>
      <c r="D100">
        <v>40</v>
      </c>
      <c r="E100">
        <v>9</v>
      </c>
      <c r="F100">
        <v>60</v>
      </c>
      <c r="G100">
        <v>1.3899999999999999E-2</v>
      </c>
      <c r="H100">
        <v>0.22489999999999999</v>
      </c>
      <c r="I100">
        <v>1.5</v>
      </c>
      <c r="J100" t="s">
        <v>33</v>
      </c>
      <c r="K100">
        <v>3945</v>
      </c>
      <c r="L100">
        <v>65</v>
      </c>
      <c r="M100">
        <v>7</v>
      </c>
      <c r="N100">
        <v>185</v>
      </c>
      <c r="O100">
        <v>1.6500000000000001E-2</v>
      </c>
      <c r="P100">
        <v>0.1115</v>
      </c>
      <c r="Q100">
        <v>2.85</v>
      </c>
    </row>
    <row r="101" spans="1:17" x14ac:dyDescent="0.3">
      <c r="A101" s="1">
        <v>45026</v>
      </c>
      <c r="B101" t="s">
        <v>32</v>
      </c>
      <c r="C101">
        <v>1312</v>
      </c>
      <c r="D101">
        <v>57</v>
      </c>
      <c r="E101">
        <v>16</v>
      </c>
      <c r="F101">
        <v>92</v>
      </c>
      <c r="G101">
        <v>4.3200000000000002E-2</v>
      </c>
      <c r="H101">
        <v>0.2883</v>
      </c>
      <c r="I101">
        <v>1.62</v>
      </c>
      <c r="J101" t="s">
        <v>33</v>
      </c>
      <c r="K101">
        <v>3900</v>
      </c>
      <c r="L101">
        <v>83</v>
      </c>
      <c r="M101">
        <v>9</v>
      </c>
      <c r="N101">
        <v>90</v>
      </c>
      <c r="O101">
        <v>2.1299999999999999E-2</v>
      </c>
      <c r="P101">
        <v>0.1103</v>
      </c>
      <c r="Q101">
        <v>1.08</v>
      </c>
    </row>
    <row r="102" spans="1:17" x14ac:dyDescent="0.3">
      <c r="A102" s="1">
        <v>45027</v>
      </c>
      <c r="B102" t="s">
        <v>32</v>
      </c>
      <c r="C102">
        <v>1128</v>
      </c>
      <c r="D102">
        <v>36</v>
      </c>
      <c r="E102">
        <v>10</v>
      </c>
      <c r="F102">
        <v>70</v>
      </c>
      <c r="G102">
        <v>3.1600000000000003E-2</v>
      </c>
      <c r="H102">
        <v>0.2843</v>
      </c>
      <c r="I102">
        <v>1.96</v>
      </c>
      <c r="J102" t="s">
        <v>33</v>
      </c>
      <c r="K102">
        <v>4618</v>
      </c>
      <c r="L102">
        <v>35</v>
      </c>
      <c r="M102">
        <v>5</v>
      </c>
      <c r="N102">
        <v>110</v>
      </c>
      <c r="O102">
        <v>7.6E-3</v>
      </c>
      <c r="P102">
        <v>0.13519999999999999</v>
      </c>
      <c r="Q102">
        <v>3.14</v>
      </c>
    </row>
    <row r="103" spans="1:17" x14ac:dyDescent="0.3">
      <c r="A103" s="1">
        <v>45028</v>
      </c>
      <c r="B103" t="s">
        <v>32</v>
      </c>
      <c r="C103">
        <v>1924</v>
      </c>
      <c r="D103">
        <v>22</v>
      </c>
      <c r="E103">
        <v>6</v>
      </c>
      <c r="F103">
        <v>74</v>
      </c>
      <c r="G103">
        <v>1.1599999999999999E-2</v>
      </c>
      <c r="H103">
        <v>0.28970000000000001</v>
      </c>
      <c r="I103">
        <v>3.3</v>
      </c>
      <c r="J103" t="s">
        <v>33</v>
      </c>
      <c r="K103">
        <v>4828</v>
      </c>
      <c r="L103">
        <v>44</v>
      </c>
      <c r="M103">
        <v>3</v>
      </c>
      <c r="N103">
        <v>173</v>
      </c>
      <c r="O103">
        <v>9.1000000000000004E-3</v>
      </c>
      <c r="P103">
        <v>7.2700000000000001E-2</v>
      </c>
      <c r="Q103">
        <v>3.92</v>
      </c>
    </row>
    <row r="104" spans="1:17" x14ac:dyDescent="0.3">
      <c r="A104" s="1">
        <v>45029</v>
      </c>
      <c r="B104" t="s">
        <v>32</v>
      </c>
      <c r="C104">
        <v>1786</v>
      </c>
      <c r="D104">
        <v>43</v>
      </c>
      <c r="E104">
        <v>13</v>
      </c>
      <c r="F104">
        <v>69</v>
      </c>
      <c r="G104">
        <v>2.3900000000000001E-2</v>
      </c>
      <c r="H104">
        <v>0.29370000000000002</v>
      </c>
      <c r="I104">
        <v>1.61</v>
      </c>
      <c r="J104" t="s">
        <v>33</v>
      </c>
      <c r="K104">
        <v>5266</v>
      </c>
      <c r="L104">
        <v>57</v>
      </c>
      <c r="M104">
        <v>5</v>
      </c>
      <c r="N104">
        <v>109</v>
      </c>
      <c r="O104">
        <v>1.09E-2</v>
      </c>
      <c r="P104">
        <v>8.4900000000000003E-2</v>
      </c>
      <c r="Q104">
        <v>1.9</v>
      </c>
    </row>
    <row r="105" spans="1:17" x14ac:dyDescent="0.3">
      <c r="A105" s="1">
        <v>45030</v>
      </c>
      <c r="B105" t="s">
        <v>32</v>
      </c>
      <c r="C105">
        <v>2135</v>
      </c>
      <c r="D105">
        <v>57</v>
      </c>
      <c r="E105">
        <v>12</v>
      </c>
      <c r="F105">
        <v>114</v>
      </c>
      <c r="G105">
        <v>2.6800000000000001E-2</v>
      </c>
      <c r="H105">
        <v>0.2175</v>
      </c>
      <c r="I105">
        <v>2</v>
      </c>
      <c r="J105" t="s">
        <v>33</v>
      </c>
      <c r="K105">
        <v>5708</v>
      </c>
      <c r="L105">
        <v>76</v>
      </c>
      <c r="M105">
        <v>7</v>
      </c>
      <c r="N105">
        <v>160</v>
      </c>
      <c r="O105">
        <v>1.34E-2</v>
      </c>
      <c r="P105">
        <v>8.9300000000000004E-2</v>
      </c>
      <c r="Q105">
        <v>2.1</v>
      </c>
    </row>
    <row r="106" spans="1:17" x14ac:dyDescent="0.3">
      <c r="A106" s="1">
        <v>45031</v>
      </c>
      <c r="B106" t="s">
        <v>32</v>
      </c>
      <c r="C106">
        <v>1642</v>
      </c>
      <c r="D106">
        <v>39</v>
      </c>
      <c r="E106">
        <v>13</v>
      </c>
      <c r="F106">
        <v>80</v>
      </c>
      <c r="G106">
        <v>2.3800000000000002E-2</v>
      </c>
      <c r="H106">
        <v>0.32790000000000002</v>
      </c>
      <c r="I106">
        <v>2.0499999999999998</v>
      </c>
      <c r="J106" t="s">
        <v>33</v>
      </c>
      <c r="K106">
        <v>3986</v>
      </c>
      <c r="L106">
        <v>48</v>
      </c>
      <c r="M106">
        <v>7</v>
      </c>
      <c r="N106">
        <v>152</v>
      </c>
      <c r="O106">
        <v>1.2E-2</v>
      </c>
      <c r="P106">
        <v>0.15440000000000001</v>
      </c>
      <c r="Q106">
        <v>3.18</v>
      </c>
    </row>
    <row r="107" spans="1:17" x14ac:dyDescent="0.3">
      <c r="A107" s="1">
        <v>45032</v>
      </c>
      <c r="B107" t="s">
        <v>32</v>
      </c>
      <c r="C107">
        <v>2252</v>
      </c>
      <c r="D107">
        <v>36</v>
      </c>
      <c r="E107">
        <v>10</v>
      </c>
      <c r="F107">
        <v>114</v>
      </c>
      <c r="G107">
        <v>1.5900000000000001E-2</v>
      </c>
      <c r="H107">
        <v>0.28360000000000002</v>
      </c>
      <c r="I107">
        <v>3.18</v>
      </c>
      <c r="J107" t="s">
        <v>33</v>
      </c>
      <c r="K107">
        <v>5091</v>
      </c>
      <c r="L107">
        <v>62</v>
      </c>
      <c r="M107">
        <v>8</v>
      </c>
      <c r="N107">
        <v>150</v>
      </c>
      <c r="O107">
        <v>1.2200000000000001E-2</v>
      </c>
      <c r="P107">
        <v>0.1308</v>
      </c>
      <c r="Q107">
        <v>2.42</v>
      </c>
    </row>
    <row r="108" spans="1:17" x14ac:dyDescent="0.3">
      <c r="A108" s="1">
        <v>45033</v>
      </c>
      <c r="B108" t="s">
        <v>32</v>
      </c>
      <c r="C108">
        <v>1132</v>
      </c>
      <c r="D108">
        <v>58</v>
      </c>
      <c r="E108">
        <v>16</v>
      </c>
      <c r="F108">
        <v>78</v>
      </c>
      <c r="G108">
        <v>5.0999999999999997E-2</v>
      </c>
      <c r="H108">
        <v>0.26929999999999998</v>
      </c>
      <c r="I108">
        <v>1.35</v>
      </c>
      <c r="J108" t="s">
        <v>33</v>
      </c>
      <c r="K108">
        <v>4629</v>
      </c>
      <c r="L108">
        <v>45</v>
      </c>
      <c r="M108">
        <v>7</v>
      </c>
      <c r="N108">
        <v>135</v>
      </c>
      <c r="O108">
        <v>9.7000000000000003E-3</v>
      </c>
      <c r="P108">
        <v>0.16120000000000001</v>
      </c>
      <c r="Q108">
        <v>3.01</v>
      </c>
    </row>
    <row r="109" spans="1:17" x14ac:dyDescent="0.3">
      <c r="A109" s="1">
        <v>45034</v>
      </c>
      <c r="B109" t="s">
        <v>32</v>
      </c>
      <c r="C109">
        <v>1163</v>
      </c>
      <c r="D109">
        <v>36</v>
      </c>
      <c r="E109">
        <v>10</v>
      </c>
      <c r="F109">
        <v>66</v>
      </c>
      <c r="G109">
        <v>3.1E-2</v>
      </c>
      <c r="H109">
        <v>0.28310000000000002</v>
      </c>
      <c r="I109">
        <v>1.84</v>
      </c>
      <c r="J109" t="s">
        <v>33</v>
      </c>
      <c r="K109">
        <v>3812</v>
      </c>
      <c r="L109">
        <v>34</v>
      </c>
      <c r="M109">
        <v>4</v>
      </c>
      <c r="N109">
        <v>92</v>
      </c>
      <c r="O109">
        <v>8.9999999999999993E-3</v>
      </c>
      <c r="P109">
        <v>0.1084</v>
      </c>
      <c r="Q109">
        <v>2.69</v>
      </c>
    </row>
    <row r="110" spans="1:17" x14ac:dyDescent="0.3">
      <c r="A110" s="1">
        <v>45035</v>
      </c>
      <c r="B110" t="s">
        <v>32</v>
      </c>
      <c r="C110">
        <v>3209</v>
      </c>
      <c r="D110">
        <v>33</v>
      </c>
      <c r="E110">
        <v>12</v>
      </c>
      <c r="F110">
        <v>108</v>
      </c>
      <c r="G110">
        <v>1.03E-2</v>
      </c>
      <c r="H110">
        <v>0.35149999999999998</v>
      </c>
      <c r="I110">
        <v>3.26</v>
      </c>
      <c r="J110" t="s">
        <v>33</v>
      </c>
      <c r="K110">
        <v>4171</v>
      </c>
      <c r="L110">
        <v>51</v>
      </c>
      <c r="M110">
        <v>8</v>
      </c>
      <c r="N110">
        <v>171</v>
      </c>
      <c r="O110">
        <v>1.23E-2</v>
      </c>
      <c r="P110">
        <v>0.14760000000000001</v>
      </c>
      <c r="Q110">
        <v>3.34</v>
      </c>
    </row>
    <row r="111" spans="1:17" x14ac:dyDescent="0.3">
      <c r="A111" s="1">
        <v>45036</v>
      </c>
      <c r="B111" t="s">
        <v>32</v>
      </c>
      <c r="C111">
        <v>3269</v>
      </c>
      <c r="D111">
        <v>43</v>
      </c>
      <c r="E111">
        <v>12</v>
      </c>
      <c r="F111">
        <v>89</v>
      </c>
      <c r="G111">
        <v>1.3100000000000001E-2</v>
      </c>
      <c r="H111">
        <v>0.26989999999999997</v>
      </c>
      <c r="I111">
        <v>2.0699999999999998</v>
      </c>
      <c r="J111" t="s">
        <v>33</v>
      </c>
      <c r="K111">
        <v>5488</v>
      </c>
      <c r="L111">
        <v>85</v>
      </c>
      <c r="M111">
        <v>8</v>
      </c>
      <c r="N111">
        <v>154</v>
      </c>
      <c r="O111">
        <v>1.55E-2</v>
      </c>
      <c r="P111">
        <v>9.7199999999999995E-2</v>
      </c>
      <c r="Q111">
        <v>1.81</v>
      </c>
    </row>
    <row r="112" spans="1:17" x14ac:dyDescent="0.3">
      <c r="A112" s="1">
        <v>45037</v>
      </c>
      <c r="B112" t="s">
        <v>32</v>
      </c>
      <c r="C112">
        <v>3217</v>
      </c>
      <c r="D112">
        <v>62</v>
      </c>
      <c r="E112">
        <v>16</v>
      </c>
      <c r="F112">
        <v>120</v>
      </c>
      <c r="G112">
        <v>1.9400000000000001E-2</v>
      </c>
      <c r="H112">
        <v>0.26419999999999999</v>
      </c>
      <c r="I112">
        <v>1.92</v>
      </c>
      <c r="J112" t="s">
        <v>33</v>
      </c>
      <c r="K112">
        <v>4850</v>
      </c>
      <c r="L112">
        <v>59</v>
      </c>
      <c r="M112">
        <v>4</v>
      </c>
      <c r="N112">
        <v>154</v>
      </c>
      <c r="O112">
        <v>1.2200000000000001E-2</v>
      </c>
      <c r="P112">
        <v>6.6900000000000001E-2</v>
      </c>
      <c r="Q112">
        <v>2.61</v>
      </c>
    </row>
    <row r="113" spans="1:17" x14ac:dyDescent="0.3">
      <c r="A113" s="1">
        <v>45038</v>
      </c>
      <c r="B113" t="s">
        <v>32</v>
      </c>
      <c r="C113">
        <v>2186</v>
      </c>
      <c r="D113">
        <v>45</v>
      </c>
      <c r="E113">
        <v>10</v>
      </c>
      <c r="F113">
        <v>126</v>
      </c>
      <c r="G113">
        <v>2.06E-2</v>
      </c>
      <c r="H113">
        <v>0.22220000000000001</v>
      </c>
      <c r="I113">
        <v>2.8</v>
      </c>
      <c r="J113" t="s">
        <v>33</v>
      </c>
      <c r="K113">
        <v>5494</v>
      </c>
      <c r="L113">
        <v>67</v>
      </c>
      <c r="M113">
        <v>8</v>
      </c>
      <c r="N113">
        <v>173</v>
      </c>
      <c r="O113">
        <v>1.2200000000000001E-2</v>
      </c>
      <c r="P113">
        <v>0.12470000000000001</v>
      </c>
      <c r="Q113">
        <v>2.58</v>
      </c>
    </row>
    <row r="114" spans="1:17" x14ac:dyDescent="0.3">
      <c r="A114" s="1">
        <v>45039</v>
      </c>
      <c r="B114" t="s">
        <v>32</v>
      </c>
      <c r="C114">
        <v>2414</v>
      </c>
      <c r="D114">
        <v>51</v>
      </c>
      <c r="E114">
        <v>14</v>
      </c>
      <c r="F114">
        <v>111</v>
      </c>
      <c r="G114">
        <v>2.1000000000000001E-2</v>
      </c>
      <c r="H114">
        <v>0.27910000000000001</v>
      </c>
      <c r="I114">
        <v>2.2000000000000002</v>
      </c>
      <c r="J114" t="s">
        <v>33</v>
      </c>
      <c r="K114">
        <v>4570</v>
      </c>
      <c r="L114">
        <v>77</v>
      </c>
      <c r="M114">
        <v>9</v>
      </c>
      <c r="N114">
        <v>132</v>
      </c>
      <c r="O114">
        <v>1.6799999999999999E-2</v>
      </c>
      <c r="P114">
        <v>0.11509999999999999</v>
      </c>
      <c r="Q114">
        <v>1.72</v>
      </c>
    </row>
    <row r="115" spans="1:17" x14ac:dyDescent="0.3">
      <c r="A115" s="1">
        <v>45040</v>
      </c>
      <c r="B115" t="s">
        <v>32</v>
      </c>
      <c r="C115">
        <v>1744</v>
      </c>
      <c r="D115">
        <v>19</v>
      </c>
      <c r="E115">
        <v>8</v>
      </c>
      <c r="F115">
        <v>90</v>
      </c>
      <c r="G115">
        <v>1.09E-2</v>
      </c>
      <c r="H115">
        <v>0.41049999999999998</v>
      </c>
      <c r="I115">
        <v>4.75</v>
      </c>
      <c r="J115" t="s">
        <v>33</v>
      </c>
      <c r="K115">
        <v>5096</v>
      </c>
      <c r="L115">
        <v>60</v>
      </c>
      <c r="M115">
        <v>7</v>
      </c>
      <c r="N115">
        <v>157</v>
      </c>
      <c r="O115">
        <v>1.18E-2</v>
      </c>
      <c r="P115">
        <v>0.1168</v>
      </c>
      <c r="Q115">
        <v>2.62</v>
      </c>
    </row>
    <row r="116" spans="1:17" x14ac:dyDescent="0.3">
      <c r="A116" s="1">
        <v>45041</v>
      </c>
      <c r="B116" t="s">
        <v>32</v>
      </c>
      <c r="C116">
        <v>2910</v>
      </c>
      <c r="D116">
        <v>39</v>
      </c>
      <c r="E116">
        <v>11</v>
      </c>
      <c r="F116">
        <v>48</v>
      </c>
      <c r="G116">
        <v>1.3299999999999999E-2</v>
      </c>
      <c r="H116">
        <v>0.27750000000000002</v>
      </c>
      <c r="I116">
        <v>1.24</v>
      </c>
      <c r="J116" t="s">
        <v>33</v>
      </c>
      <c r="K116">
        <v>4057</v>
      </c>
      <c r="L116">
        <v>53</v>
      </c>
      <c r="M116">
        <v>6</v>
      </c>
      <c r="N116">
        <v>108</v>
      </c>
      <c r="O116">
        <v>1.3100000000000001E-2</v>
      </c>
      <c r="P116">
        <v>0.10639999999999999</v>
      </c>
      <c r="Q116">
        <v>2.0299999999999998</v>
      </c>
    </row>
    <row r="117" spans="1:17" x14ac:dyDescent="0.3">
      <c r="A117" s="1">
        <v>45042</v>
      </c>
      <c r="B117" t="s">
        <v>32</v>
      </c>
      <c r="C117">
        <v>2788</v>
      </c>
      <c r="D117">
        <v>59</v>
      </c>
      <c r="E117">
        <v>15</v>
      </c>
      <c r="F117">
        <v>111</v>
      </c>
      <c r="G117">
        <v>2.1100000000000001E-2</v>
      </c>
      <c r="H117">
        <v>0.25090000000000001</v>
      </c>
      <c r="I117">
        <v>1.88</v>
      </c>
      <c r="J117" t="s">
        <v>33</v>
      </c>
      <c r="K117">
        <v>3896</v>
      </c>
      <c r="L117">
        <v>84</v>
      </c>
      <c r="M117">
        <v>5</v>
      </c>
      <c r="N117">
        <v>170</v>
      </c>
      <c r="O117">
        <v>2.1499999999999998E-2</v>
      </c>
      <c r="P117">
        <v>6.1899999999999997E-2</v>
      </c>
      <c r="Q117">
        <v>2.0299999999999998</v>
      </c>
    </row>
    <row r="118" spans="1:17" x14ac:dyDescent="0.3">
      <c r="A118" s="1">
        <v>45043</v>
      </c>
      <c r="B118" t="s">
        <v>32</v>
      </c>
      <c r="C118">
        <v>1525</v>
      </c>
      <c r="D118">
        <v>53</v>
      </c>
      <c r="E118">
        <v>16</v>
      </c>
      <c r="F118">
        <v>58</v>
      </c>
      <c r="G118">
        <v>3.4799999999999998E-2</v>
      </c>
      <c r="H118">
        <v>0.29430000000000001</v>
      </c>
      <c r="I118">
        <v>1.0900000000000001</v>
      </c>
      <c r="J118" t="s">
        <v>33</v>
      </c>
      <c r="K118">
        <v>4572</v>
      </c>
      <c r="L118">
        <v>37</v>
      </c>
      <c r="M118">
        <v>3</v>
      </c>
      <c r="N118">
        <v>167</v>
      </c>
      <c r="O118">
        <v>8.0999999999999996E-3</v>
      </c>
      <c r="P118">
        <v>7.6899999999999996E-2</v>
      </c>
      <c r="Q118">
        <v>4.5</v>
      </c>
    </row>
    <row r="119" spans="1:17" x14ac:dyDescent="0.3">
      <c r="A119" s="1">
        <v>45044</v>
      </c>
      <c r="B119" t="s">
        <v>32</v>
      </c>
      <c r="C119">
        <v>3249</v>
      </c>
      <c r="D119">
        <v>36</v>
      </c>
      <c r="E119">
        <v>11</v>
      </c>
      <c r="F119">
        <v>55</v>
      </c>
      <c r="G119">
        <v>1.09E-2</v>
      </c>
      <c r="H119">
        <v>0.31269999999999998</v>
      </c>
      <c r="I119">
        <v>1.56</v>
      </c>
      <c r="J119" t="s">
        <v>33</v>
      </c>
      <c r="K119">
        <v>5734</v>
      </c>
      <c r="L119">
        <v>67</v>
      </c>
      <c r="M119">
        <v>8</v>
      </c>
      <c r="N119">
        <v>155</v>
      </c>
      <c r="O119">
        <v>1.17E-2</v>
      </c>
      <c r="P119">
        <v>0.12479999999999999</v>
      </c>
      <c r="Q119">
        <v>2.3199999999999998</v>
      </c>
    </row>
    <row r="120" spans="1:17" x14ac:dyDescent="0.3">
      <c r="A120" s="1">
        <v>45045</v>
      </c>
      <c r="B120" t="s">
        <v>32</v>
      </c>
      <c r="C120">
        <v>1624</v>
      </c>
      <c r="D120">
        <v>31</v>
      </c>
      <c r="E120">
        <v>7</v>
      </c>
      <c r="F120">
        <v>114</v>
      </c>
      <c r="G120">
        <v>1.9099999999999999E-2</v>
      </c>
      <c r="H120">
        <v>0.23230000000000001</v>
      </c>
      <c r="I120">
        <v>3.67</v>
      </c>
      <c r="J120" t="s">
        <v>33</v>
      </c>
      <c r="K120">
        <v>4642</v>
      </c>
      <c r="L120">
        <v>57</v>
      </c>
      <c r="M120">
        <v>7</v>
      </c>
      <c r="N120">
        <v>154</v>
      </c>
      <c r="O120">
        <v>1.24E-2</v>
      </c>
      <c r="P120">
        <v>0.1197</v>
      </c>
      <c r="Q120">
        <v>2.68</v>
      </c>
    </row>
    <row r="121" spans="1:17" x14ac:dyDescent="0.3">
      <c r="A121" s="1">
        <v>45046</v>
      </c>
      <c r="B121" t="s">
        <v>32</v>
      </c>
      <c r="C121">
        <v>1541</v>
      </c>
      <c r="D121">
        <v>21</v>
      </c>
      <c r="E121">
        <v>6</v>
      </c>
      <c r="F121">
        <v>107</v>
      </c>
      <c r="G121">
        <v>1.3599999999999999E-2</v>
      </c>
      <c r="H121">
        <v>0.29520000000000002</v>
      </c>
      <c r="I121">
        <v>5.0999999999999996</v>
      </c>
      <c r="J121" t="s">
        <v>33</v>
      </c>
      <c r="K121">
        <v>5508</v>
      </c>
      <c r="L121">
        <v>83</v>
      </c>
      <c r="M121">
        <v>8</v>
      </c>
      <c r="N121">
        <v>187</v>
      </c>
      <c r="O121">
        <v>1.5100000000000001E-2</v>
      </c>
      <c r="P121">
        <v>9.8199999999999996E-2</v>
      </c>
      <c r="Q121">
        <v>2.2599999999999998</v>
      </c>
    </row>
    <row r="122" spans="1:17" x14ac:dyDescent="0.3">
      <c r="A122" s="1">
        <v>45047</v>
      </c>
      <c r="B122" t="s">
        <v>34</v>
      </c>
      <c r="C122">
        <v>1168</v>
      </c>
      <c r="D122">
        <v>52</v>
      </c>
      <c r="E122">
        <v>11</v>
      </c>
      <c r="F122">
        <v>42</v>
      </c>
      <c r="G122">
        <v>4.4299999999999999E-2</v>
      </c>
      <c r="H122">
        <v>0.21929999999999999</v>
      </c>
      <c r="I122">
        <v>0.81</v>
      </c>
      <c r="J122" t="s">
        <v>35</v>
      </c>
      <c r="K122">
        <v>4405</v>
      </c>
      <c r="L122">
        <v>70</v>
      </c>
      <c r="M122">
        <v>5</v>
      </c>
      <c r="N122">
        <v>171</v>
      </c>
      <c r="O122">
        <v>1.5900000000000001E-2</v>
      </c>
      <c r="P122">
        <v>6.4199999999999993E-2</v>
      </c>
      <c r="Q122">
        <v>2.44</v>
      </c>
    </row>
    <row r="123" spans="1:17" x14ac:dyDescent="0.3">
      <c r="A123" s="1">
        <v>45048</v>
      </c>
      <c r="B123" t="s">
        <v>34</v>
      </c>
      <c r="C123">
        <v>2301</v>
      </c>
      <c r="D123">
        <v>54</v>
      </c>
      <c r="E123">
        <v>15</v>
      </c>
      <c r="F123">
        <v>64</v>
      </c>
      <c r="G123">
        <v>2.3599999999999999E-2</v>
      </c>
      <c r="H123">
        <v>0.27350000000000002</v>
      </c>
      <c r="I123">
        <v>1.18</v>
      </c>
      <c r="J123" t="s">
        <v>35</v>
      </c>
      <c r="K123">
        <v>4750</v>
      </c>
      <c r="L123">
        <v>67</v>
      </c>
      <c r="M123">
        <v>5</v>
      </c>
      <c r="N123">
        <v>111</v>
      </c>
      <c r="O123">
        <v>1.4200000000000001E-2</v>
      </c>
      <c r="P123">
        <v>7.9699999999999993E-2</v>
      </c>
      <c r="Q123">
        <v>1.65</v>
      </c>
    </row>
    <row r="124" spans="1:17" x14ac:dyDescent="0.3">
      <c r="A124" s="1">
        <v>45049</v>
      </c>
      <c r="B124" t="s">
        <v>34</v>
      </c>
      <c r="C124">
        <v>1332</v>
      </c>
      <c r="D124">
        <v>35</v>
      </c>
      <c r="E124">
        <v>8</v>
      </c>
      <c r="F124">
        <v>121</v>
      </c>
      <c r="G124">
        <v>2.6100000000000002E-2</v>
      </c>
      <c r="H124">
        <v>0.2288</v>
      </c>
      <c r="I124">
        <v>3.48</v>
      </c>
      <c r="J124" t="s">
        <v>35</v>
      </c>
      <c r="K124">
        <v>4360</v>
      </c>
      <c r="L124">
        <v>37</v>
      </c>
      <c r="M124">
        <v>5</v>
      </c>
      <c r="N124">
        <v>123</v>
      </c>
      <c r="O124">
        <v>8.5000000000000006E-3</v>
      </c>
      <c r="P124">
        <v>0.13059999999999999</v>
      </c>
      <c r="Q124">
        <v>3.29</v>
      </c>
    </row>
    <row r="125" spans="1:17" x14ac:dyDescent="0.3">
      <c r="A125" s="1">
        <v>45050</v>
      </c>
      <c r="B125" t="s">
        <v>34</v>
      </c>
      <c r="C125">
        <v>2771</v>
      </c>
      <c r="D125">
        <v>48</v>
      </c>
      <c r="E125">
        <v>12</v>
      </c>
      <c r="F125">
        <v>103</v>
      </c>
      <c r="G125">
        <v>1.7399999999999999E-2</v>
      </c>
      <c r="H125">
        <v>0.2414</v>
      </c>
      <c r="I125">
        <v>2.13</v>
      </c>
      <c r="J125" t="s">
        <v>35</v>
      </c>
      <c r="K125">
        <v>4349</v>
      </c>
      <c r="L125">
        <v>58</v>
      </c>
      <c r="M125">
        <v>4</v>
      </c>
      <c r="N125">
        <v>150</v>
      </c>
      <c r="O125">
        <v>1.3299999999999999E-2</v>
      </c>
      <c r="P125">
        <v>6.7299999999999999E-2</v>
      </c>
      <c r="Q125">
        <v>2.59</v>
      </c>
    </row>
    <row r="126" spans="1:17" x14ac:dyDescent="0.3">
      <c r="A126" s="1">
        <v>45051</v>
      </c>
      <c r="B126" t="s">
        <v>34</v>
      </c>
      <c r="C126">
        <v>2564</v>
      </c>
      <c r="D126">
        <v>53</v>
      </c>
      <c r="E126">
        <v>16</v>
      </c>
      <c r="F126">
        <v>62</v>
      </c>
      <c r="G126">
        <v>2.07E-2</v>
      </c>
      <c r="H126">
        <v>0.29420000000000002</v>
      </c>
      <c r="I126">
        <v>1.18</v>
      </c>
      <c r="J126" t="s">
        <v>35</v>
      </c>
      <c r="K126">
        <v>4434</v>
      </c>
      <c r="L126">
        <v>68</v>
      </c>
      <c r="M126">
        <v>4</v>
      </c>
      <c r="N126">
        <v>153</v>
      </c>
      <c r="O126">
        <v>1.54E-2</v>
      </c>
      <c r="P126">
        <v>6.4600000000000005E-2</v>
      </c>
      <c r="Q126">
        <v>2.23</v>
      </c>
    </row>
    <row r="127" spans="1:17" x14ac:dyDescent="0.3">
      <c r="A127" s="1">
        <v>45052</v>
      </c>
      <c r="B127" t="s">
        <v>34</v>
      </c>
      <c r="C127">
        <v>1736</v>
      </c>
      <c r="D127">
        <v>25</v>
      </c>
      <c r="E127">
        <v>7</v>
      </c>
      <c r="F127">
        <v>69</v>
      </c>
      <c r="G127">
        <v>1.46E-2</v>
      </c>
      <c r="H127">
        <v>0.2787</v>
      </c>
      <c r="I127">
        <v>2.73</v>
      </c>
      <c r="J127" t="s">
        <v>35</v>
      </c>
      <c r="K127">
        <v>4465</v>
      </c>
      <c r="L127">
        <v>72</v>
      </c>
      <c r="M127">
        <v>9</v>
      </c>
      <c r="N127">
        <v>126</v>
      </c>
      <c r="O127">
        <v>1.6199999999999999E-2</v>
      </c>
      <c r="P127">
        <v>0.1193</v>
      </c>
      <c r="Q127">
        <v>1.74</v>
      </c>
    </row>
    <row r="128" spans="1:17" x14ac:dyDescent="0.3">
      <c r="A128" s="1">
        <v>45053</v>
      </c>
      <c r="B128" t="s">
        <v>34</v>
      </c>
      <c r="C128">
        <v>2923</v>
      </c>
      <c r="D128">
        <v>25</v>
      </c>
      <c r="E128">
        <v>7</v>
      </c>
      <c r="F128">
        <v>99</v>
      </c>
      <c r="G128">
        <v>8.6E-3</v>
      </c>
      <c r="H128">
        <v>0.2797</v>
      </c>
      <c r="I128">
        <v>3.93</v>
      </c>
      <c r="J128" t="s">
        <v>35</v>
      </c>
      <c r="K128">
        <v>4158</v>
      </c>
      <c r="L128">
        <v>60</v>
      </c>
      <c r="M128">
        <v>5</v>
      </c>
      <c r="N128">
        <v>153</v>
      </c>
      <c r="O128">
        <v>1.44E-2</v>
      </c>
      <c r="P128">
        <v>8.3299999999999999E-2</v>
      </c>
      <c r="Q128">
        <v>2.56</v>
      </c>
    </row>
    <row r="129" spans="1:17" x14ac:dyDescent="0.3">
      <c r="A129" s="1">
        <v>45054</v>
      </c>
      <c r="B129" t="s">
        <v>34</v>
      </c>
      <c r="C129">
        <v>1587</v>
      </c>
      <c r="D129">
        <v>58</v>
      </c>
      <c r="E129">
        <v>17</v>
      </c>
      <c r="F129">
        <v>82</v>
      </c>
      <c r="G129">
        <v>3.6200000000000003E-2</v>
      </c>
      <c r="H129">
        <v>0.28699999999999998</v>
      </c>
      <c r="I129">
        <v>1.43</v>
      </c>
      <c r="J129" t="s">
        <v>35</v>
      </c>
      <c r="K129">
        <v>5325</v>
      </c>
      <c r="L129">
        <v>41</v>
      </c>
      <c r="M129">
        <v>5</v>
      </c>
      <c r="N129">
        <v>115</v>
      </c>
      <c r="O129">
        <v>7.7000000000000002E-3</v>
      </c>
      <c r="P129">
        <v>0.1235</v>
      </c>
      <c r="Q129">
        <v>2.81</v>
      </c>
    </row>
    <row r="130" spans="1:17" x14ac:dyDescent="0.3">
      <c r="A130" s="1">
        <v>45055</v>
      </c>
      <c r="B130" t="s">
        <v>34</v>
      </c>
      <c r="C130">
        <v>1960</v>
      </c>
      <c r="D130">
        <v>41</v>
      </c>
      <c r="E130">
        <v>9</v>
      </c>
      <c r="F130">
        <v>130</v>
      </c>
      <c r="G130">
        <v>2.0899999999999998E-2</v>
      </c>
      <c r="H130">
        <v>0.22439999999999999</v>
      </c>
      <c r="I130">
        <v>3.18</v>
      </c>
      <c r="J130" t="s">
        <v>35</v>
      </c>
      <c r="K130">
        <v>5078</v>
      </c>
      <c r="L130">
        <v>40</v>
      </c>
      <c r="M130">
        <v>5</v>
      </c>
      <c r="N130">
        <v>94</v>
      </c>
      <c r="O130">
        <v>7.9000000000000008E-3</v>
      </c>
      <c r="P130">
        <v>0.12470000000000001</v>
      </c>
      <c r="Q130">
        <v>2.33</v>
      </c>
    </row>
    <row r="131" spans="1:17" x14ac:dyDescent="0.3">
      <c r="A131" s="1">
        <v>45056</v>
      </c>
      <c r="B131" t="s">
        <v>34</v>
      </c>
      <c r="C131">
        <v>3320</v>
      </c>
      <c r="D131">
        <v>47</v>
      </c>
      <c r="E131">
        <v>13</v>
      </c>
      <c r="F131">
        <v>112</v>
      </c>
      <c r="G131">
        <v>1.4200000000000001E-2</v>
      </c>
      <c r="H131">
        <v>0.28460000000000002</v>
      </c>
      <c r="I131">
        <v>2.37</v>
      </c>
      <c r="J131" t="s">
        <v>35</v>
      </c>
      <c r="K131">
        <v>5086</v>
      </c>
      <c r="L131">
        <v>49</v>
      </c>
      <c r="M131">
        <v>7</v>
      </c>
      <c r="N131">
        <v>120</v>
      </c>
      <c r="O131">
        <v>9.7000000000000003E-3</v>
      </c>
      <c r="P131">
        <v>0.15129999999999999</v>
      </c>
      <c r="Q131">
        <v>2.4300000000000002</v>
      </c>
    </row>
    <row r="132" spans="1:17" x14ac:dyDescent="0.3">
      <c r="A132" s="1">
        <v>45057</v>
      </c>
      <c r="B132" t="s">
        <v>34</v>
      </c>
      <c r="C132">
        <v>1909</v>
      </c>
      <c r="D132">
        <v>34</v>
      </c>
      <c r="E132">
        <v>10</v>
      </c>
      <c r="F132">
        <v>53</v>
      </c>
      <c r="G132">
        <v>1.7600000000000001E-2</v>
      </c>
      <c r="H132">
        <v>0.2893</v>
      </c>
      <c r="I132">
        <v>1.58</v>
      </c>
      <c r="J132" t="s">
        <v>35</v>
      </c>
      <c r="K132">
        <v>4724</v>
      </c>
      <c r="L132">
        <v>52</v>
      </c>
      <c r="M132">
        <v>5</v>
      </c>
      <c r="N132">
        <v>134</v>
      </c>
      <c r="O132">
        <v>1.09E-2</v>
      </c>
      <c r="P132">
        <v>8.8800000000000004E-2</v>
      </c>
      <c r="Q132">
        <v>2.6</v>
      </c>
    </row>
    <row r="133" spans="1:17" x14ac:dyDescent="0.3">
      <c r="A133" s="1">
        <v>45058</v>
      </c>
      <c r="B133" t="s">
        <v>34</v>
      </c>
      <c r="C133">
        <v>1702</v>
      </c>
      <c r="D133">
        <v>42</v>
      </c>
      <c r="E133">
        <v>13</v>
      </c>
      <c r="F133">
        <v>60</v>
      </c>
      <c r="G133">
        <v>2.4899999999999999E-2</v>
      </c>
      <c r="H133">
        <v>0.31790000000000002</v>
      </c>
      <c r="I133">
        <v>1.42</v>
      </c>
      <c r="J133" t="s">
        <v>35</v>
      </c>
      <c r="K133">
        <v>4146</v>
      </c>
      <c r="L133">
        <v>78</v>
      </c>
      <c r="M133">
        <v>7</v>
      </c>
      <c r="N133">
        <v>154</v>
      </c>
      <c r="O133">
        <v>1.8800000000000001E-2</v>
      </c>
      <c r="P133">
        <v>8.8400000000000006E-2</v>
      </c>
      <c r="Q133">
        <v>1.98</v>
      </c>
    </row>
    <row r="134" spans="1:17" x14ac:dyDescent="0.3">
      <c r="A134" s="1">
        <v>45059</v>
      </c>
      <c r="B134" t="s">
        <v>34</v>
      </c>
      <c r="C134">
        <v>2281</v>
      </c>
      <c r="D134">
        <v>33</v>
      </c>
      <c r="E134">
        <v>9</v>
      </c>
      <c r="F134">
        <v>56</v>
      </c>
      <c r="G134">
        <v>1.46E-2</v>
      </c>
      <c r="H134">
        <v>0.25990000000000002</v>
      </c>
      <c r="I134">
        <v>1.66</v>
      </c>
      <c r="J134" t="s">
        <v>35</v>
      </c>
      <c r="K134">
        <v>5327</v>
      </c>
      <c r="L134">
        <v>83</v>
      </c>
      <c r="M134">
        <v>8</v>
      </c>
      <c r="N134">
        <v>139</v>
      </c>
      <c r="O134">
        <v>1.55E-2</v>
      </c>
      <c r="P134">
        <v>9.8299999999999998E-2</v>
      </c>
      <c r="Q134">
        <v>1.68</v>
      </c>
    </row>
    <row r="135" spans="1:17" x14ac:dyDescent="0.3">
      <c r="A135" s="1">
        <v>45060</v>
      </c>
      <c r="B135" t="s">
        <v>34</v>
      </c>
      <c r="C135">
        <v>1467</v>
      </c>
      <c r="D135">
        <v>54</v>
      </c>
      <c r="E135">
        <v>12</v>
      </c>
      <c r="F135">
        <v>79</v>
      </c>
      <c r="G135">
        <v>3.6700000000000003E-2</v>
      </c>
      <c r="H135">
        <v>0.21859999999999999</v>
      </c>
      <c r="I135">
        <v>1.46</v>
      </c>
      <c r="J135" t="s">
        <v>35</v>
      </c>
      <c r="K135">
        <v>4117</v>
      </c>
      <c r="L135">
        <v>38</v>
      </c>
      <c r="M135">
        <v>6</v>
      </c>
      <c r="N135">
        <v>182</v>
      </c>
      <c r="O135">
        <v>9.2999999999999992E-3</v>
      </c>
      <c r="P135">
        <v>0.15479999999999999</v>
      </c>
      <c r="Q135">
        <v>4.7699999999999996</v>
      </c>
    </row>
    <row r="136" spans="1:17" x14ac:dyDescent="0.3">
      <c r="A136" s="1">
        <v>45061</v>
      </c>
      <c r="B136" t="s">
        <v>34</v>
      </c>
      <c r="C136">
        <v>3043</v>
      </c>
      <c r="D136">
        <v>44</v>
      </c>
      <c r="E136">
        <v>12</v>
      </c>
      <c r="F136">
        <v>96</v>
      </c>
      <c r="G136">
        <v>1.46E-2</v>
      </c>
      <c r="H136">
        <v>0.26769999999999999</v>
      </c>
      <c r="I136">
        <v>2.16</v>
      </c>
      <c r="J136" t="s">
        <v>35</v>
      </c>
      <c r="K136">
        <v>5687</v>
      </c>
      <c r="L136">
        <v>41</v>
      </c>
      <c r="M136">
        <v>7</v>
      </c>
      <c r="N136">
        <v>75</v>
      </c>
      <c r="O136">
        <v>7.1999999999999998E-3</v>
      </c>
      <c r="P136">
        <v>0.1721</v>
      </c>
      <c r="Q136">
        <v>1.83</v>
      </c>
    </row>
    <row r="137" spans="1:17" x14ac:dyDescent="0.3">
      <c r="A137" s="1">
        <v>45062</v>
      </c>
      <c r="B137" t="s">
        <v>34</v>
      </c>
      <c r="C137">
        <v>2530</v>
      </c>
      <c r="D137">
        <v>50</v>
      </c>
      <c r="E137">
        <v>15</v>
      </c>
      <c r="F137">
        <v>76</v>
      </c>
      <c r="G137">
        <v>1.9699999999999999E-2</v>
      </c>
      <c r="H137">
        <v>0.3004</v>
      </c>
      <c r="I137">
        <v>1.52</v>
      </c>
      <c r="J137" t="s">
        <v>35</v>
      </c>
      <c r="K137">
        <v>4657</v>
      </c>
      <c r="L137">
        <v>72</v>
      </c>
      <c r="M137">
        <v>5</v>
      </c>
      <c r="N137">
        <v>127</v>
      </c>
      <c r="O137">
        <v>1.54E-2</v>
      </c>
      <c r="P137">
        <v>6.4000000000000001E-2</v>
      </c>
      <c r="Q137">
        <v>1.77</v>
      </c>
    </row>
    <row r="138" spans="1:17" x14ac:dyDescent="0.3">
      <c r="A138" s="1">
        <v>45063</v>
      </c>
      <c r="B138" t="s">
        <v>34</v>
      </c>
      <c r="C138">
        <v>2483</v>
      </c>
      <c r="D138">
        <v>59</v>
      </c>
      <c r="E138">
        <v>17</v>
      </c>
      <c r="F138">
        <v>46</v>
      </c>
      <c r="G138">
        <v>2.3900000000000001E-2</v>
      </c>
      <c r="H138">
        <v>0.2843</v>
      </c>
      <c r="I138">
        <v>0.77</v>
      </c>
      <c r="J138" t="s">
        <v>35</v>
      </c>
      <c r="K138">
        <v>4438</v>
      </c>
      <c r="L138">
        <v>54</v>
      </c>
      <c r="M138">
        <v>6</v>
      </c>
      <c r="N138">
        <v>134</v>
      </c>
      <c r="O138">
        <v>1.23E-2</v>
      </c>
      <c r="P138">
        <v>0.1051</v>
      </c>
      <c r="Q138">
        <v>2.4700000000000002</v>
      </c>
    </row>
    <row r="139" spans="1:17" x14ac:dyDescent="0.3">
      <c r="A139" s="1">
        <v>45064</v>
      </c>
      <c r="B139" t="s">
        <v>34</v>
      </c>
      <c r="C139">
        <v>2648</v>
      </c>
      <c r="D139">
        <v>23</v>
      </c>
      <c r="E139">
        <v>9</v>
      </c>
      <c r="F139">
        <v>129</v>
      </c>
      <c r="G139">
        <v>8.8000000000000005E-3</v>
      </c>
      <c r="H139">
        <v>0.37169999999999997</v>
      </c>
      <c r="I139">
        <v>5.53</v>
      </c>
      <c r="J139" t="s">
        <v>35</v>
      </c>
      <c r="K139">
        <v>5640</v>
      </c>
      <c r="L139">
        <v>36</v>
      </c>
      <c r="M139">
        <v>4</v>
      </c>
      <c r="N139">
        <v>171</v>
      </c>
      <c r="O139">
        <v>6.4000000000000003E-3</v>
      </c>
      <c r="P139">
        <v>0.1052</v>
      </c>
      <c r="Q139">
        <v>4.71</v>
      </c>
    </row>
    <row r="140" spans="1:17" x14ac:dyDescent="0.3">
      <c r="A140" s="1">
        <v>45065</v>
      </c>
      <c r="B140" t="s">
        <v>34</v>
      </c>
      <c r="C140">
        <v>2948</v>
      </c>
      <c r="D140">
        <v>59</v>
      </c>
      <c r="E140">
        <v>13</v>
      </c>
      <c r="F140">
        <v>49</v>
      </c>
      <c r="G140">
        <v>0.02</v>
      </c>
      <c r="H140">
        <v>0.21690000000000001</v>
      </c>
      <c r="I140">
        <v>0.83</v>
      </c>
      <c r="J140" t="s">
        <v>35</v>
      </c>
      <c r="K140">
        <v>5458</v>
      </c>
      <c r="L140">
        <v>54</v>
      </c>
      <c r="M140">
        <v>5</v>
      </c>
      <c r="N140">
        <v>148</v>
      </c>
      <c r="O140">
        <v>9.9000000000000008E-3</v>
      </c>
      <c r="P140">
        <v>8.6999999999999994E-2</v>
      </c>
      <c r="Q140">
        <v>2.74</v>
      </c>
    </row>
    <row r="141" spans="1:17" x14ac:dyDescent="0.3">
      <c r="A141" s="1">
        <v>45066</v>
      </c>
      <c r="B141" t="s">
        <v>34</v>
      </c>
      <c r="C141">
        <v>1368</v>
      </c>
      <c r="D141">
        <v>36</v>
      </c>
      <c r="E141">
        <v>10</v>
      </c>
      <c r="F141">
        <v>114</v>
      </c>
      <c r="G141">
        <v>2.6599999999999999E-2</v>
      </c>
      <c r="H141">
        <v>0.28239999999999998</v>
      </c>
      <c r="I141">
        <v>3.14</v>
      </c>
      <c r="J141" t="s">
        <v>35</v>
      </c>
      <c r="K141">
        <v>3814</v>
      </c>
      <c r="L141">
        <v>55</v>
      </c>
      <c r="M141">
        <v>5</v>
      </c>
      <c r="N141">
        <v>83</v>
      </c>
      <c r="O141">
        <v>1.44E-2</v>
      </c>
      <c r="P141">
        <v>8.6300000000000002E-2</v>
      </c>
      <c r="Q141">
        <v>1.51</v>
      </c>
    </row>
    <row r="142" spans="1:17" x14ac:dyDescent="0.3">
      <c r="A142" s="1">
        <v>45067</v>
      </c>
      <c r="B142" t="s">
        <v>34</v>
      </c>
      <c r="C142">
        <v>2684</v>
      </c>
      <c r="D142">
        <v>42</v>
      </c>
      <c r="E142">
        <v>10</v>
      </c>
      <c r="F142">
        <v>86</v>
      </c>
      <c r="G142">
        <v>1.55E-2</v>
      </c>
      <c r="H142">
        <v>0.2482</v>
      </c>
      <c r="I142">
        <v>2.0699999999999998</v>
      </c>
      <c r="J142" t="s">
        <v>35</v>
      </c>
      <c r="K142">
        <v>5526</v>
      </c>
      <c r="L142">
        <v>45</v>
      </c>
      <c r="M142">
        <v>6</v>
      </c>
      <c r="N142">
        <v>104</v>
      </c>
      <c r="O142">
        <v>8.0999999999999996E-3</v>
      </c>
      <c r="P142">
        <v>0.13900000000000001</v>
      </c>
      <c r="Q142">
        <v>2.2999999999999998</v>
      </c>
    </row>
    <row r="143" spans="1:17" x14ac:dyDescent="0.3">
      <c r="A143" s="1">
        <v>45068</v>
      </c>
      <c r="B143" t="s">
        <v>34</v>
      </c>
      <c r="C143">
        <v>2615</v>
      </c>
      <c r="D143">
        <v>29</v>
      </c>
      <c r="E143">
        <v>7</v>
      </c>
      <c r="F143">
        <v>55</v>
      </c>
      <c r="G143">
        <v>1.12E-2</v>
      </c>
      <c r="H143">
        <v>0.2341</v>
      </c>
      <c r="I143">
        <v>1.86</v>
      </c>
      <c r="J143" t="s">
        <v>35</v>
      </c>
      <c r="K143">
        <v>5531</v>
      </c>
      <c r="L143">
        <v>83</v>
      </c>
      <c r="M143">
        <v>8</v>
      </c>
      <c r="N143">
        <v>118</v>
      </c>
      <c r="O143">
        <v>1.4999999999999999E-2</v>
      </c>
      <c r="P143">
        <v>9.8199999999999996E-2</v>
      </c>
      <c r="Q143">
        <v>1.42</v>
      </c>
    </row>
    <row r="144" spans="1:17" x14ac:dyDescent="0.3">
      <c r="A144" s="1">
        <v>45069</v>
      </c>
      <c r="B144" t="s">
        <v>34</v>
      </c>
      <c r="C144">
        <v>1511</v>
      </c>
      <c r="D144">
        <v>26</v>
      </c>
      <c r="E144">
        <v>7</v>
      </c>
      <c r="F144">
        <v>44</v>
      </c>
      <c r="G144">
        <v>1.6899999999999998E-2</v>
      </c>
      <c r="H144">
        <v>0.27810000000000001</v>
      </c>
      <c r="I144">
        <v>1.72</v>
      </c>
      <c r="J144" t="s">
        <v>35</v>
      </c>
      <c r="K144">
        <v>4585</v>
      </c>
      <c r="L144">
        <v>55</v>
      </c>
      <c r="M144">
        <v>8</v>
      </c>
      <c r="N144">
        <v>166</v>
      </c>
      <c r="O144">
        <v>1.21E-2</v>
      </c>
      <c r="P144">
        <v>0.1404</v>
      </c>
      <c r="Q144">
        <v>3.01</v>
      </c>
    </row>
    <row r="145" spans="1:17" x14ac:dyDescent="0.3">
      <c r="A145" s="1">
        <v>45070</v>
      </c>
      <c r="B145" t="s">
        <v>34</v>
      </c>
      <c r="C145">
        <v>2158</v>
      </c>
      <c r="D145">
        <v>23</v>
      </c>
      <c r="E145">
        <v>6</v>
      </c>
      <c r="F145">
        <v>85</v>
      </c>
      <c r="G145">
        <v>1.0699999999999999E-2</v>
      </c>
      <c r="H145">
        <v>0.24329999999999999</v>
      </c>
      <c r="I145">
        <v>3.68</v>
      </c>
      <c r="J145" t="s">
        <v>35</v>
      </c>
      <c r="K145">
        <v>4970</v>
      </c>
      <c r="L145">
        <v>41</v>
      </c>
      <c r="M145">
        <v>6</v>
      </c>
      <c r="N145">
        <v>101</v>
      </c>
      <c r="O145">
        <v>8.3000000000000001E-3</v>
      </c>
      <c r="P145">
        <v>0.1472</v>
      </c>
      <c r="Q145">
        <v>2.46</v>
      </c>
    </row>
    <row r="146" spans="1:17" x14ac:dyDescent="0.3">
      <c r="A146" s="1">
        <v>45071</v>
      </c>
      <c r="B146" t="s">
        <v>34</v>
      </c>
      <c r="C146">
        <v>3085</v>
      </c>
      <c r="D146">
        <v>48</v>
      </c>
      <c r="E146">
        <v>13</v>
      </c>
      <c r="F146">
        <v>43</v>
      </c>
      <c r="G146">
        <v>1.55E-2</v>
      </c>
      <c r="H146">
        <v>0.26279999999999998</v>
      </c>
      <c r="I146">
        <v>0.91</v>
      </c>
      <c r="J146" t="s">
        <v>35</v>
      </c>
      <c r="K146">
        <v>4768</v>
      </c>
      <c r="L146">
        <v>73</v>
      </c>
      <c r="M146">
        <v>6</v>
      </c>
      <c r="N146">
        <v>135</v>
      </c>
      <c r="O146">
        <v>1.52E-2</v>
      </c>
      <c r="P146">
        <v>7.7600000000000002E-2</v>
      </c>
      <c r="Q146">
        <v>1.85</v>
      </c>
    </row>
    <row r="147" spans="1:17" x14ac:dyDescent="0.3">
      <c r="A147" s="1">
        <v>45072</v>
      </c>
      <c r="B147" t="s">
        <v>34</v>
      </c>
      <c r="C147">
        <v>2806</v>
      </c>
      <c r="D147">
        <v>46</v>
      </c>
      <c r="E147">
        <v>14</v>
      </c>
      <c r="F147">
        <v>50</v>
      </c>
      <c r="G147">
        <v>1.6400000000000001E-2</v>
      </c>
      <c r="H147">
        <v>0.3085</v>
      </c>
      <c r="I147">
        <v>1.08</v>
      </c>
      <c r="J147" t="s">
        <v>35</v>
      </c>
      <c r="K147">
        <v>4140</v>
      </c>
      <c r="L147">
        <v>77</v>
      </c>
      <c r="M147">
        <v>5</v>
      </c>
      <c r="N147">
        <v>170</v>
      </c>
      <c r="O147">
        <v>1.8700000000000001E-2</v>
      </c>
      <c r="P147">
        <v>6.2899999999999998E-2</v>
      </c>
      <c r="Q147">
        <v>2.2000000000000002</v>
      </c>
    </row>
    <row r="148" spans="1:17" x14ac:dyDescent="0.3">
      <c r="A148" s="1">
        <v>45073</v>
      </c>
      <c r="B148" t="s">
        <v>34</v>
      </c>
      <c r="C148">
        <v>1239</v>
      </c>
      <c r="D148">
        <v>37</v>
      </c>
      <c r="E148">
        <v>12</v>
      </c>
      <c r="F148">
        <v>110</v>
      </c>
      <c r="G148">
        <v>2.98E-2</v>
      </c>
      <c r="H148">
        <v>0.33550000000000002</v>
      </c>
      <c r="I148">
        <v>2.99</v>
      </c>
      <c r="J148" t="s">
        <v>35</v>
      </c>
      <c r="K148">
        <v>4692</v>
      </c>
      <c r="L148">
        <v>88</v>
      </c>
      <c r="M148">
        <v>5</v>
      </c>
      <c r="N148">
        <v>75</v>
      </c>
      <c r="O148">
        <v>1.8700000000000001E-2</v>
      </c>
      <c r="P148">
        <v>6.1400000000000003E-2</v>
      </c>
      <c r="Q148">
        <v>0.85</v>
      </c>
    </row>
    <row r="149" spans="1:17" x14ac:dyDescent="0.3">
      <c r="A149" s="1">
        <v>45074</v>
      </c>
      <c r="B149" t="s">
        <v>34</v>
      </c>
      <c r="C149">
        <v>2244</v>
      </c>
      <c r="D149">
        <v>36</v>
      </c>
      <c r="E149">
        <v>9</v>
      </c>
      <c r="F149">
        <v>99</v>
      </c>
      <c r="G149">
        <v>1.6E-2</v>
      </c>
      <c r="H149">
        <v>0.25590000000000002</v>
      </c>
      <c r="I149">
        <v>2.76</v>
      </c>
      <c r="J149" t="s">
        <v>35</v>
      </c>
      <c r="K149">
        <v>4842</v>
      </c>
      <c r="L149">
        <v>63</v>
      </c>
      <c r="M149">
        <v>4</v>
      </c>
      <c r="N149">
        <v>112</v>
      </c>
      <c r="O149">
        <v>1.2999999999999999E-2</v>
      </c>
      <c r="P149">
        <v>6.59E-2</v>
      </c>
      <c r="Q149">
        <v>1.78</v>
      </c>
    </row>
    <row r="150" spans="1:17" x14ac:dyDescent="0.3">
      <c r="A150" s="1">
        <v>45075</v>
      </c>
      <c r="B150" t="s">
        <v>34</v>
      </c>
      <c r="C150">
        <v>2767</v>
      </c>
      <c r="D150">
        <v>37</v>
      </c>
      <c r="E150">
        <v>8</v>
      </c>
      <c r="F150">
        <v>43</v>
      </c>
      <c r="G150">
        <v>1.32E-2</v>
      </c>
      <c r="H150">
        <v>0.22739999999999999</v>
      </c>
      <c r="I150">
        <v>1.17</v>
      </c>
      <c r="J150" t="s">
        <v>35</v>
      </c>
      <c r="K150">
        <v>4845</v>
      </c>
      <c r="L150">
        <v>60</v>
      </c>
      <c r="M150">
        <v>7</v>
      </c>
      <c r="N150">
        <v>119</v>
      </c>
      <c r="O150">
        <v>1.23E-2</v>
      </c>
      <c r="P150">
        <v>0.11700000000000001</v>
      </c>
      <c r="Q150">
        <v>2</v>
      </c>
    </row>
    <row r="151" spans="1:17" x14ac:dyDescent="0.3">
      <c r="A151" s="1">
        <v>45076</v>
      </c>
      <c r="B151" t="s">
        <v>34</v>
      </c>
      <c r="C151">
        <v>2630</v>
      </c>
      <c r="D151">
        <v>41</v>
      </c>
      <c r="E151">
        <v>11</v>
      </c>
      <c r="F151">
        <v>84</v>
      </c>
      <c r="G151">
        <v>1.5699999999999999E-2</v>
      </c>
      <c r="H151">
        <v>0.27279999999999999</v>
      </c>
      <c r="I151">
        <v>2.0299999999999998</v>
      </c>
      <c r="J151" t="s">
        <v>35</v>
      </c>
      <c r="K151">
        <v>5544</v>
      </c>
      <c r="L151">
        <v>76</v>
      </c>
      <c r="M151">
        <v>8</v>
      </c>
      <c r="N151">
        <v>142</v>
      </c>
      <c r="O151">
        <v>1.37E-2</v>
      </c>
      <c r="P151">
        <v>0.1026</v>
      </c>
      <c r="Q151">
        <v>1.86</v>
      </c>
    </row>
    <row r="152" spans="1:17" x14ac:dyDescent="0.3">
      <c r="A152" s="1">
        <v>45077</v>
      </c>
      <c r="B152" t="s">
        <v>34</v>
      </c>
      <c r="C152">
        <v>1831</v>
      </c>
      <c r="D152">
        <v>23</v>
      </c>
      <c r="E152">
        <v>9</v>
      </c>
      <c r="F152">
        <v>94</v>
      </c>
      <c r="G152">
        <v>1.2500000000000001E-2</v>
      </c>
      <c r="H152">
        <v>0.37469999999999998</v>
      </c>
      <c r="I152">
        <v>4.12</v>
      </c>
      <c r="J152" t="s">
        <v>35</v>
      </c>
      <c r="K152">
        <v>4628</v>
      </c>
      <c r="L152">
        <v>48</v>
      </c>
      <c r="M152">
        <v>4</v>
      </c>
      <c r="N152">
        <v>113</v>
      </c>
      <c r="O152">
        <v>1.03E-2</v>
      </c>
      <c r="P152">
        <v>9.1899999999999996E-2</v>
      </c>
      <c r="Q152">
        <v>2.37</v>
      </c>
    </row>
    <row r="153" spans="1:17" x14ac:dyDescent="0.3">
      <c r="A153" s="1">
        <v>45078</v>
      </c>
      <c r="B153" t="s">
        <v>36</v>
      </c>
      <c r="C153">
        <v>1586</v>
      </c>
      <c r="D153">
        <v>40</v>
      </c>
      <c r="E153">
        <v>13</v>
      </c>
      <c r="F153">
        <v>79</v>
      </c>
      <c r="G153">
        <v>2.5000000000000001E-2</v>
      </c>
      <c r="H153">
        <v>0.32590000000000002</v>
      </c>
      <c r="I153">
        <v>2</v>
      </c>
      <c r="J153" t="s">
        <v>37</v>
      </c>
      <c r="K153">
        <v>4003</v>
      </c>
      <c r="L153">
        <v>58</v>
      </c>
      <c r="M153">
        <v>6</v>
      </c>
      <c r="N153">
        <v>84</v>
      </c>
      <c r="O153">
        <v>1.4500000000000001E-2</v>
      </c>
      <c r="P153">
        <v>0.1019</v>
      </c>
      <c r="Q153">
        <v>1.46</v>
      </c>
    </row>
    <row r="154" spans="1:17" x14ac:dyDescent="0.3">
      <c r="A154" s="1">
        <v>45079</v>
      </c>
      <c r="B154" t="s">
        <v>36</v>
      </c>
      <c r="C154">
        <v>1670</v>
      </c>
      <c r="D154">
        <v>35</v>
      </c>
      <c r="E154">
        <v>11</v>
      </c>
      <c r="F154">
        <v>107</v>
      </c>
      <c r="G154">
        <v>2.1100000000000001E-2</v>
      </c>
      <c r="H154">
        <v>0.31330000000000002</v>
      </c>
      <c r="I154">
        <v>3.02</v>
      </c>
      <c r="J154" t="s">
        <v>37</v>
      </c>
      <c r="K154">
        <v>5223</v>
      </c>
      <c r="L154">
        <v>45</v>
      </c>
      <c r="M154">
        <v>5</v>
      </c>
      <c r="N154">
        <v>178</v>
      </c>
      <c r="O154">
        <v>8.6E-3</v>
      </c>
      <c r="P154">
        <v>0.1167</v>
      </c>
      <c r="Q154">
        <v>3.95</v>
      </c>
    </row>
    <row r="155" spans="1:17" x14ac:dyDescent="0.3">
      <c r="A155" s="1">
        <v>45080</v>
      </c>
      <c r="B155" t="s">
        <v>36</v>
      </c>
      <c r="C155">
        <v>2686</v>
      </c>
      <c r="D155">
        <v>61</v>
      </c>
      <c r="E155">
        <v>16</v>
      </c>
      <c r="F155">
        <v>73</v>
      </c>
      <c r="G155">
        <v>2.2700000000000001E-2</v>
      </c>
      <c r="H155">
        <v>0.26569999999999999</v>
      </c>
      <c r="I155">
        <v>1.19</v>
      </c>
      <c r="J155" t="s">
        <v>37</v>
      </c>
      <c r="K155">
        <v>4953</v>
      </c>
      <c r="L155">
        <v>56</v>
      </c>
      <c r="M155">
        <v>7</v>
      </c>
      <c r="N155">
        <v>179</v>
      </c>
      <c r="O155">
        <v>1.1299999999999999E-2</v>
      </c>
      <c r="P155">
        <v>0.12139999999999999</v>
      </c>
      <c r="Q155">
        <v>3.19</v>
      </c>
    </row>
    <row r="156" spans="1:17" x14ac:dyDescent="0.3">
      <c r="A156" s="1">
        <v>45081</v>
      </c>
      <c r="B156" t="s">
        <v>36</v>
      </c>
      <c r="C156">
        <v>1380</v>
      </c>
      <c r="D156">
        <v>36</v>
      </c>
      <c r="E156">
        <v>9</v>
      </c>
      <c r="F156">
        <v>99</v>
      </c>
      <c r="G156">
        <v>2.64E-2</v>
      </c>
      <c r="H156">
        <v>0.25490000000000002</v>
      </c>
      <c r="I156">
        <v>2.72</v>
      </c>
      <c r="J156" t="s">
        <v>37</v>
      </c>
      <c r="K156">
        <v>5298</v>
      </c>
      <c r="L156">
        <v>73</v>
      </c>
      <c r="M156">
        <v>5</v>
      </c>
      <c r="N156">
        <v>167</v>
      </c>
      <c r="O156">
        <v>1.38E-2</v>
      </c>
      <c r="P156">
        <v>6.3700000000000007E-2</v>
      </c>
      <c r="Q156">
        <v>2.2799999999999998</v>
      </c>
    </row>
    <row r="157" spans="1:17" x14ac:dyDescent="0.3">
      <c r="A157" s="1">
        <v>45082</v>
      </c>
      <c r="B157" t="s">
        <v>36</v>
      </c>
      <c r="C157">
        <v>2075</v>
      </c>
      <c r="D157">
        <v>48</v>
      </c>
      <c r="E157">
        <v>13</v>
      </c>
      <c r="F157">
        <v>84</v>
      </c>
      <c r="G157">
        <v>2.3E-2</v>
      </c>
      <c r="H157">
        <v>0.26279999999999998</v>
      </c>
      <c r="I157">
        <v>1.75</v>
      </c>
      <c r="J157" t="s">
        <v>37</v>
      </c>
      <c r="K157">
        <v>4716</v>
      </c>
      <c r="L157">
        <v>48</v>
      </c>
      <c r="M157">
        <v>7</v>
      </c>
      <c r="N157">
        <v>133</v>
      </c>
      <c r="O157">
        <v>1.03E-2</v>
      </c>
      <c r="P157">
        <v>0.15329999999999999</v>
      </c>
      <c r="Q157">
        <v>2.75</v>
      </c>
    </row>
    <row r="158" spans="1:17" x14ac:dyDescent="0.3">
      <c r="A158" s="1">
        <v>45083</v>
      </c>
      <c r="B158" t="s">
        <v>36</v>
      </c>
      <c r="C158">
        <v>2421</v>
      </c>
      <c r="D158">
        <v>22</v>
      </c>
      <c r="E158">
        <v>7</v>
      </c>
      <c r="F158">
        <v>112</v>
      </c>
      <c r="G158">
        <v>9.1999999999999998E-3</v>
      </c>
      <c r="H158">
        <v>0.33450000000000002</v>
      </c>
      <c r="I158">
        <v>5.01</v>
      </c>
      <c r="J158" t="s">
        <v>37</v>
      </c>
      <c r="K158">
        <v>5353</v>
      </c>
      <c r="L158">
        <v>71</v>
      </c>
      <c r="M158">
        <v>5</v>
      </c>
      <c r="N158">
        <v>163</v>
      </c>
      <c r="O158">
        <v>1.32E-2</v>
      </c>
      <c r="P158">
        <v>6.4199999999999993E-2</v>
      </c>
      <c r="Q158">
        <v>2.31</v>
      </c>
    </row>
    <row r="159" spans="1:17" x14ac:dyDescent="0.3">
      <c r="A159" s="1">
        <v>45084</v>
      </c>
      <c r="B159" t="s">
        <v>36</v>
      </c>
      <c r="C159">
        <v>2433</v>
      </c>
      <c r="D159">
        <v>46</v>
      </c>
      <c r="E159">
        <v>14</v>
      </c>
      <c r="F159">
        <v>46</v>
      </c>
      <c r="G159">
        <v>1.8700000000000001E-2</v>
      </c>
      <c r="H159">
        <v>0.30959999999999999</v>
      </c>
      <c r="I159">
        <v>1.01</v>
      </c>
      <c r="J159" t="s">
        <v>37</v>
      </c>
      <c r="K159">
        <v>4883</v>
      </c>
      <c r="L159">
        <v>70</v>
      </c>
      <c r="M159">
        <v>5</v>
      </c>
      <c r="N159">
        <v>114</v>
      </c>
      <c r="O159">
        <v>1.43E-2</v>
      </c>
      <c r="P159">
        <v>7.8700000000000006E-2</v>
      </c>
      <c r="Q159">
        <v>1.64</v>
      </c>
    </row>
    <row r="160" spans="1:17" x14ac:dyDescent="0.3">
      <c r="A160" s="1">
        <v>45085</v>
      </c>
      <c r="B160" t="s">
        <v>36</v>
      </c>
      <c r="C160">
        <v>2944</v>
      </c>
      <c r="D160">
        <v>56</v>
      </c>
      <c r="E160">
        <v>15</v>
      </c>
      <c r="F160">
        <v>107</v>
      </c>
      <c r="G160">
        <v>1.9E-2</v>
      </c>
      <c r="H160">
        <v>0.27160000000000001</v>
      </c>
      <c r="I160">
        <v>1.92</v>
      </c>
      <c r="J160" t="s">
        <v>37</v>
      </c>
      <c r="K160">
        <v>5457</v>
      </c>
      <c r="L160">
        <v>60</v>
      </c>
      <c r="M160">
        <v>5</v>
      </c>
      <c r="N160">
        <v>141</v>
      </c>
      <c r="O160">
        <v>1.0999999999999999E-2</v>
      </c>
      <c r="P160">
        <v>8.3299999999999999E-2</v>
      </c>
      <c r="Q160">
        <v>2.35</v>
      </c>
    </row>
    <row r="161" spans="1:17" x14ac:dyDescent="0.3">
      <c r="A161" s="1">
        <v>45086</v>
      </c>
      <c r="B161" t="s">
        <v>36</v>
      </c>
      <c r="C161">
        <v>1288</v>
      </c>
      <c r="D161">
        <v>35</v>
      </c>
      <c r="E161">
        <v>8</v>
      </c>
      <c r="F161">
        <v>76</v>
      </c>
      <c r="G161">
        <v>2.69E-2</v>
      </c>
      <c r="H161">
        <v>0.22889999999999999</v>
      </c>
      <c r="I161">
        <v>2.19</v>
      </c>
      <c r="J161" t="s">
        <v>37</v>
      </c>
      <c r="K161">
        <v>3887</v>
      </c>
      <c r="L161">
        <v>56</v>
      </c>
      <c r="M161">
        <v>7</v>
      </c>
      <c r="N161">
        <v>124</v>
      </c>
      <c r="O161">
        <v>1.4500000000000001E-2</v>
      </c>
      <c r="P161">
        <v>0.1212</v>
      </c>
      <c r="Q161">
        <v>2.2000000000000002</v>
      </c>
    </row>
    <row r="162" spans="1:17" x14ac:dyDescent="0.3">
      <c r="A162" s="1">
        <v>45087</v>
      </c>
      <c r="B162" t="s">
        <v>36</v>
      </c>
      <c r="C162">
        <v>1719</v>
      </c>
      <c r="D162">
        <v>29</v>
      </c>
      <c r="E162">
        <v>11</v>
      </c>
      <c r="F162">
        <v>71</v>
      </c>
      <c r="G162">
        <v>1.66E-2</v>
      </c>
      <c r="H162">
        <v>0.37540000000000001</v>
      </c>
      <c r="I162">
        <v>2.48</v>
      </c>
      <c r="J162" t="s">
        <v>37</v>
      </c>
      <c r="K162">
        <v>3773</v>
      </c>
      <c r="L162">
        <v>85</v>
      </c>
      <c r="M162">
        <v>5</v>
      </c>
      <c r="N162">
        <v>174</v>
      </c>
      <c r="O162">
        <v>2.2499999999999999E-2</v>
      </c>
      <c r="P162">
        <v>6.1800000000000001E-2</v>
      </c>
      <c r="Q162">
        <v>2.0499999999999998</v>
      </c>
    </row>
    <row r="163" spans="1:17" x14ac:dyDescent="0.3">
      <c r="A163" s="1">
        <v>45088</v>
      </c>
      <c r="B163" t="s">
        <v>36</v>
      </c>
      <c r="C163">
        <v>1868</v>
      </c>
      <c r="D163">
        <v>44</v>
      </c>
      <c r="E163">
        <v>10</v>
      </c>
      <c r="F163">
        <v>144</v>
      </c>
      <c r="G163">
        <v>2.3400000000000001E-2</v>
      </c>
      <c r="H163">
        <v>0.2228</v>
      </c>
      <c r="I163">
        <v>3.29</v>
      </c>
      <c r="J163" t="s">
        <v>37</v>
      </c>
      <c r="K163">
        <v>4899</v>
      </c>
      <c r="L163">
        <v>53</v>
      </c>
      <c r="M163">
        <v>7</v>
      </c>
      <c r="N163">
        <v>121</v>
      </c>
      <c r="O163">
        <v>1.0800000000000001E-2</v>
      </c>
      <c r="P163">
        <v>0.12529999999999999</v>
      </c>
      <c r="Q163">
        <v>2.27</v>
      </c>
    </row>
    <row r="164" spans="1:17" x14ac:dyDescent="0.3">
      <c r="A164" s="1">
        <v>45089</v>
      </c>
      <c r="B164" t="s">
        <v>36</v>
      </c>
      <c r="C164">
        <v>1799</v>
      </c>
      <c r="D164">
        <v>40</v>
      </c>
      <c r="E164">
        <v>13</v>
      </c>
      <c r="F164">
        <v>57</v>
      </c>
      <c r="G164">
        <v>2.2100000000000002E-2</v>
      </c>
      <c r="H164">
        <v>0.32590000000000002</v>
      </c>
      <c r="I164">
        <v>1.43</v>
      </c>
      <c r="J164" t="s">
        <v>37</v>
      </c>
      <c r="K164">
        <v>4545</v>
      </c>
      <c r="L164">
        <v>80</v>
      </c>
      <c r="M164">
        <v>6</v>
      </c>
      <c r="N164">
        <v>119</v>
      </c>
      <c r="O164">
        <v>1.7600000000000001E-2</v>
      </c>
      <c r="P164">
        <v>7.4999999999999997E-2</v>
      </c>
      <c r="Q164">
        <v>1.49</v>
      </c>
    </row>
    <row r="165" spans="1:17" x14ac:dyDescent="0.3">
      <c r="A165" s="1">
        <v>45090</v>
      </c>
      <c r="B165" t="s">
        <v>36</v>
      </c>
      <c r="C165">
        <v>3055</v>
      </c>
      <c r="D165">
        <v>50</v>
      </c>
      <c r="E165">
        <v>13</v>
      </c>
      <c r="F165">
        <v>88</v>
      </c>
      <c r="G165">
        <v>1.6500000000000001E-2</v>
      </c>
      <c r="H165">
        <v>0.25950000000000001</v>
      </c>
      <c r="I165">
        <v>1.75</v>
      </c>
      <c r="J165" t="s">
        <v>37</v>
      </c>
      <c r="K165">
        <v>4247</v>
      </c>
      <c r="L165">
        <v>54</v>
      </c>
      <c r="M165">
        <v>8</v>
      </c>
      <c r="N165">
        <v>184</v>
      </c>
      <c r="O165">
        <v>1.2699999999999999E-2</v>
      </c>
      <c r="P165">
        <v>0.1426</v>
      </c>
      <c r="Q165">
        <v>3.41</v>
      </c>
    </row>
    <row r="166" spans="1:17" x14ac:dyDescent="0.3">
      <c r="A166" s="1">
        <v>45091</v>
      </c>
      <c r="B166" t="s">
        <v>36</v>
      </c>
      <c r="C166">
        <v>2095</v>
      </c>
      <c r="D166">
        <v>31</v>
      </c>
      <c r="E166">
        <v>9</v>
      </c>
      <c r="F166">
        <v>82</v>
      </c>
      <c r="G166">
        <v>1.4800000000000001E-2</v>
      </c>
      <c r="H166">
        <v>0.29649999999999999</v>
      </c>
      <c r="I166">
        <v>2.63</v>
      </c>
      <c r="J166" t="s">
        <v>37</v>
      </c>
      <c r="K166">
        <v>3874</v>
      </c>
      <c r="L166">
        <v>59</v>
      </c>
      <c r="M166">
        <v>4</v>
      </c>
      <c r="N166">
        <v>128</v>
      </c>
      <c r="O166">
        <v>1.5299999999999999E-2</v>
      </c>
      <c r="P166">
        <v>6.6900000000000001E-2</v>
      </c>
      <c r="Q166">
        <v>2.16</v>
      </c>
    </row>
    <row r="167" spans="1:17" x14ac:dyDescent="0.3">
      <c r="A167" s="1">
        <v>45092</v>
      </c>
      <c r="B167" t="s">
        <v>36</v>
      </c>
      <c r="C167">
        <v>2673</v>
      </c>
      <c r="D167">
        <v>33</v>
      </c>
      <c r="E167">
        <v>9</v>
      </c>
      <c r="F167">
        <v>56</v>
      </c>
      <c r="G167">
        <v>1.23E-2</v>
      </c>
      <c r="H167">
        <v>0.26100000000000001</v>
      </c>
      <c r="I167">
        <v>1.7</v>
      </c>
      <c r="J167" t="s">
        <v>37</v>
      </c>
      <c r="K167">
        <v>4456</v>
      </c>
      <c r="L167">
        <v>40</v>
      </c>
      <c r="M167">
        <v>4</v>
      </c>
      <c r="N167">
        <v>188</v>
      </c>
      <c r="O167">
        <v>8.9999999999999993E-3</v>
      </c>
      <c r="P167">
        <v>0.1</v>
      </c>
      <c r="Q167">
        <v>4.7</v>
      </c>
    </row>
    <row r="168" spans="1:17" x14ac:dyDescent="0.3">
      <c r="A168" s="1">
        <v>45093</v>
      </c>
      <c r="B168" t="s">
        <v>36</v>
      </c>
      <c r="C168">
        <v>1527</v>
      </c>
      <c r="D168">
        <v>39</v>
      </c>
      <c r="E168">
        <v>11</v>
      </c>
      <c r="F168">
        <v>56</v>
      </c>
      <c r="G168">
        <v>2.5700000000000001E-2</v>
      </c>
      <c r="H168">
        <v>0.27629999999999999</v>
      </c>
      <c r="I168">
        <v>1.42</v>
      </c>
      <c r="J168" t="s">
        <v>37</v>
      </c>
      <c r="K168">
        <v>5318</v>
      </c>
      <c r="L168">
        <v>75</v>
      </c>
      <c r="M168">
        <v>9</v>
      </c>
      <c r="N168">
        <v>189</v>
      </c>
      <c r="O168">
        <v>1.41E-2</v>
      </c>
      <c r="P168">
        <v>0.11650000000000001</v>
      </c>
      <c r="Q168">
        <v>2.5099999999999998</v>
      </c>
    </row>
    <row r="169" spans="1:17" x14ac:dyDescent="0.3">
      <c r="A169" s="1">
        <v>45094</v>
      </c>
      <c r="B169" t="s">
        <v>36</v>
      </c>
      <c r="C169">
        <v>1505</v>
      </c>
      <c r="D169">
        <v>54</v>
      </c>
      <c r="E169">
        <v>16</v>
      </c>
      <c r="F169">
        <v>63</v>
      </c>
      <c r="G169">
        <v>3.5799999999999998E-2</v>
      </c>
      <c r="H169">
        <v>0.29289999999999999</v>
      </c>
      <c r="I169">
        <v>1.17</v>
      </c>
      <c r="J169" t="s">
        <v>37</v>
      </c>
      <c r="K169">
        <v>4854</v>
      </c>
      <c r="L169">
        <v>53</v>
      </c>
      <c r="M169">
        <v>8</v>
      </c>
      <c r="N169">
        <v>113</v>
      </c>
      <c r="O169">
        <v>1.0800000000000001E-2</v>
      </c>
      <c r="P169">
        <v>0.1452</v>
      </c>
      <c r="Q169">
        <v>2.14</v>
      </c>
    </row>
    <row r="170" spans="1:17" x14ac:dyDescent="0.3">
      <c r="A170" s="1">
        <v>45095</v>
      </c>
      <c r="B170" t="s">
        <v>36</v>
      </c>
      <c r="C170">
        <v>1377</v>
      </c>
      <c r="D170">
        <v>54</v>
      </c>
      <c r="E170">
        <v>14</v>
      </c>
      <c r="F170">
        <v>89</v>
      </c>
      <c r="G170">
        <v>3.8800000000000001E-2</v>
      </c>
      <c r="H170">
        <v>0.25609999999999999</v>
      </c>
      <c r="I170">
        <v>1.67</v>
      </c>
      <c r="J170" t="s">
        <v>37</v>
      </c>
      <c r="K170">
        <v>5654</v>
      </c>
      <c r="L170">
        <v>84</v>
      </c>
      <c r="M170">
        <v>7</v>
      </c>
      <c r="N170">
        <v>186</v>
      </c>
      <c r="O170">
        <v>1.4800000000000001E-2</v>
      </c>
      <c r="P170">
        <v>8.5800000000000001E-2</v>
      </c>
      <c r="Q170">
        <v>2.2200000000000002</v>
      </c>
    </row>
    <row r="171" spans="1:17" x14ac:dyDescent="0.3">
      <c r="A171" s="1">
        <v>45096</v>
      </c>
      <c r="B171" t="s">
        <v>36</v>
      </c>
      <c r="C171">
        <v>2314</v>
      </c>
      <c r="D171">
        <v>30</v>
      </c>
      <c r="E171">
        <v>7</v>
      </c>
      <c r="F171">
        <v>79</v>
      </c>
      <c r="G171">
        <v>1.2999999999999999E-2</v>
      </c>
      <c r="H171">
        <v>0.23330000000000001</v>
      </c>
      <c r="I171">
        <v>2.64</v>
      </c>
      <c r="J171" t="s">
        <v>37</v>
      </c>
      <c r="K171">
        <v>5237</v>
      </c>
      <c r="L171">
        <v>78</v>
      </c>
      <c r="M171">
        <v>9</v>
      </c>
      <c r="N171">
        <v>109</v>
      </c>
      <c r="O171">
        <v>1.49E-2</v>
      </c>
      <c r="P171">
        <v>0.1143</v>
      </c>
      <c r="Q171">
        <v>1.4</v>
      </c>
    </row>
    <row r="172" spans="1:17" x14ac:dyDescent="0.3">
      <c r="A172" s="1">
        <v>45097</v>
      </c>
      <c r="B172" t="s">
        <v>36</v>
      </c>
      <c r="C172">
        <v>1944</v>
      </c>
      <c r="D172">
        <v>58</v>
      </c>
      <c r="E172">
        <v>17</v>
      </c>
      <c r="F172">
        <v>104</v>
      </c>
      <c r="G172">
        <v>2.9700000000000001E-2</v>
      </c>
      <c r="H172">
        <v>0.28649999999999998</v>
      </c>
      <c r="I172">
        <v>1.8</v>
      </c>
      <c r="J172" t="s">
        <v>37</v>
      </c>
      <c r="K172">
        <v>5277</v>
      </c>
      <c r="L172">
        <v>76</v>
      </c>
      <c r="M172">
        <v>6</v>
      </c>
      <c r="N172">
        <v>91</v>
      </c>
      <c r="O172">
        <v>1.44E-2</v>
      </c>
      <c r="P172">
        <v>7.6300000000000007E-2</v>
      </c>
      <c r="Q172">
        <v>1.2</v>
      </c>
    </row>
    <row r="173" spans="1:17" x14ac:dyDescent="0.3">
      <c r="A173" s="1">
        <v>45098</v>
      </c>
      <c r="B173" t="s">
        <v>36</v>
      </c>
      <c r="C173">
        <v>2416</v>
      </c>
      <c r="D173">
        <v>36</v>
      </c>
      <c r="E173">
        <v>10</v>
      </c>
      <c r="F173">
        <v>83</v>
      </c>
      <c r="G173">
        <v>1.47E-2</v>
      </c>
      <c r="H173">
        <v>0.28449999999999998</v>
      </c>
      <c r="I173">
        <v>2.34</v>
      </c>
      <c r="J173" t="s">
        <v>37</v>
      </c>
      <c r="K173">
        <v>5313</v>
      </c>
      <c r="L173">
        <v>67</v>
      </c>
      <c r="M173">
        <v>8</v>
      </c>
      <c r="N173">
        <v>174</v>
      </c>
      <c r="O173">
        <v>1.2500000000000001E-2</v>
      </c>
      <c r="P173">
        <v>0.12509999999999999</v>
      </c>
      <c r="Q173">
        <v>2.61</v>
      </c>
    </row>
    <row r="174" spans="1:17" x14ac:dyDescent="0.3">
      <c r="A174" s="1">
        <v>45099</v>
      </c>
      <c r="B174" t="s">
        <v>36</v>
      </c>
      <c r="C174">
        <v>1709</v>
      </c>
      <c r="D174">
        <v>34</v>
      </c>
      <c r="E174">
        <v>10</v>
      </c>
      <c r="F174">
        <v>134</v>
      </c>
      <c r="G174">
        <v>1.9800000000000002E-2</v>
      </c>
      <c r="H174">
        <v>0.2888</v>
      </c>
      <c r="I174">
        <v>3.95</v>
      </c>
      <c r="J174" t="s">
        <v>37</v>
      </c>
      <c r="K174">
        <v>5146</v>
      </c>
      <c r="L174">
        <v>80</v>
      </c>
      <c r="M174">
        <v>6</v>
      </c>
      <c r="N174">
        <v>168</v>
      </c>
      <c r="O174">
        <v>1.5599999999999999E-2</v>
      </c>
      <c r="P174">
        <v>7.4999999999999997E-2</v>
      </c>
      <c r="Q174">
        <v>2.1</v>
      </c>
    </row>
    <row r="175" spans="1:17" x14ac:dyDescent="0.3">
      <c r="A175" s="1">
        <v>45100</v>
      </c>
      <c r="B175" t="s">
        <v>36</v>
      </c>
      <c r="C175">
        <v>1257</v>
      </c>
      <c r="D175">
        <v>33</v>
      </c>
      <c r="E175">
        <v>9</v>
      </c>
      <c r="F175">
        <v>132</v>
      </c>
      <c r="G175">
        <v>2.64E-2</v>
      </c>
      <c r="H175">
        <v>0.26019999999999999</v>
      </c>
      <c r="I175">
        <v>3.97</v>
      </c>
      <c r="J175" t="s">
        <v>37</v>
      </c>
      <c r="K175">
        <v>4438</v>
      </c>
      <c r="L175">
        <v>52</v>
      </c>
      <c r="M175">
        <v>5</v>
      </c>
      <c r="N175">
        <v>104</v>
      </c>
      <c r="O175">
        <v>1.18E-2</v>
      </c>
      <c r="P175">
        <v>8.8200000000000001E-2</v>
      </c>
      <c r="Q175">
        <v>1.99</v>
      </c>
    </row>
    <row r="176" spans="1:17" x14ac:dyDescent="0.3">
      <c r="A176" s="1">
        <v>45101</v>
      </c>
      <c r="B176" t="s">
        <v>36</v>
      </c>
      <c r="C176">
        <v>1974</v>
      </c>
      <c r="D176">
        <v>53</v>
      </c>
      <c r="E176">
        <v>12</v>
      </c>
      <c r="F176">
        <v>58</v>
      </c>
      <c r="G176">
        <v>2.6800000000000001E-2</v>
      </c>
      <c r="H176">
        <v>0.21890000000000001</v>
      </c>
      <c r="I176">
        <v>1.1000000000000001</v>
      </c>
      <c r="J176" t="s">
        <v>37</v>
      </c>
      <c r="K176">
        <v>4037</v>
      </c>
      <c r="L176">
        <v>50</v>
      </c>
      <c r="M176">
        <v>7</v>
      </c>
      <c r="N176">
        <v>100</v>
      </c>
      <c r="O176">
        <v>1.2500000000000001E-2</v>
      </c>
      <c r="P176">
        <v>0.12939999999999999</v>
      </c>
      <c r="Q176">
        <v>1.99</v>
      </c>
    </row>
    <row r="177" spans="1:17" x14ac:dyDescent="0.3">
      <c r="A177" s="1">
        <v>45102</v>
      </c>
      <c r="B177" t="s">
        <v>36</v>
      </c>
      <c r="C177">
        <v>1796</v>
      </c>
      <c r="D177">
        <v>48</v>
      </c>
      <c r="E177">
        <v>12</v>
      </c>
      <c r="F177">
        <v>102</v>
      </c>
      <c r="G177">
        <v>2.6800000000000001E-2</v>
      </c>
      <c r="H177">
        <v>0.24160000000000001</v>
      </c>
      <c r="I177">
        <v>2.12</v>
      </c>
      <c r="J177" t="s">
        <v>37</v>
      </c>
      <c r="K177">
        <v>3833</v>
      </c>
      <c r="L177">
        <v>71</v>
      </c>
      <c r="M177">
        <v>5</v>
      </c>
      <c r="N177">
        <v>180</v>
      </c>
      <c r="O177">
        <v>1.8599999999999998E-2</v>
      </c>
      <c r="P177">
        <v>6.4000000000000001E-2</v>
      </c>
      <c r="Q177">
        <v>2.52</v>
      </c>
    </row>
    <row r="178" spans="1:17" x14ac:dyDescent="0.3">
      <c r="A178" s="1">
        <v>45103</v>
      </c>
      <c r="B178" t="s">
        <v>36</v>
      </c>
      <c r="C178">
        <v>2523</v>
      </c>
      <c r="D178">
        <v>40</v>
      </c>
      <c r="E178">
        <v>9</v>
      </c>
      <c r="F178">
        <v>52</v>
      </c>
      <c r="G178">
        <v>1.5900000000000001E-2</v>
      </c>
      <c r="H178">
        <v>0.22500000000000001</v>
      </c>
      <c r="I178">
        <v>1.31</v>
      </c>
      <c r="J178" t="s">
        <v>37</v>
      </c>
      <c r="K178">
        <v>5032</v>
      </c>
      <c r="L178">
        <v>50</v>
      </c>
      <c r="M178">
        <v>4</v>
      </c>
      <c r="N178">
        <v>168</v>
      </c>
      <c r="O178">
        <v>0.01</v>
      </c>
      <c r="P178">
        <v>6.9800000000000001E-2</v>
      </c>
      <c r="Q178">
        <v>3.34</v>
      </c>
    </row>
    <row r="179" spans="1:17" x14ac:dyDescent="0.3">
      <c r="A179" s="1">
        <v>45104</v>
      </c>
      <c r="B179" t="s">
        <v>36</v>
      </c>
      <c r="C179">
        <v>1941</v>
      </c>
      <c r="D179">
        <v>39</v>
      </c>
      <c r="E179">
        <v>9</v>
      </c>
      <c r="F179">
        <v>87</v>
      </c>
      <c r="G179">
        <v>1.9900000000000001E-2</v>
      </c>
      <c r="H179">
        <v>0.22589999999999999</v>
      </c>
      <c r="I179">
        <v>2.25</v>
      </c>
      <c r="J179" t="s">
        <v>37</v>
      </c>
      <c r="K179">
        <v>4981</v>
      </c>
      <c r="L179">
        <v>81</v>
      </c>
      <c r="M179">
        <v>9</v>
      </c>
      <c r="N179">
        <v>130</v>
      </c>
      <c r="O179">
        <v>1.6199999999999999E-2</v>
      </c>
      <c r="P179">
        <v>0.1118</v>
      </c>
      <c r="Q179">
        <v>1.61</v>
      </c>
    </row>
    <row r="180" spans="1:17" x14ac:dyDescent="0.3">
      <c r="A180" s="1">
        <v>45105</v>
      </c>
      <c r="B180" t="s">
        <v>36</v>
      </c>
      <c r="C180">
        <v>2287</v>
      </c>
      <c r="D180">
        <v>34</v>
      </c>
      <c r="E180">
        <v>12</v>
      </c>
      <c r="F180">
        <v>84</v>
      </c>
      <c r="G180">
        <v>1.4800000000000001E-2</v>
      </c>
      <c r="H180">
        <v>0.34789999999999999</v>
      </c>
      <c r="I180">
        <v>2.5</v>
      </c>
      <c r="J180" t="s">
        <v>37</v>
      </c>
      <c r="K180">
        <v>4790</v>
      </c>
      <c r="L180">
        <v>65</v>
      </c>
      <c r="M180">
        <v>5</v>
      </c>
      <c r="N180">
        <v>105</v>
      </c>
      <c r="O180">
        <v>1.35E-2</v>
      </c>
      <c r="P180">
        <v>8.1000000000000003E-2</v>
      </c>
      <c r="Q180">
        <v>1.63</v>
      </c>
    </row>
    <row r="181" spans="1:17" x14ac:dyDescent="0.3">
      <c r="A181" s="1">
        <v>45106</v>
      </c>
      <c r="B181" t="s">
        <v>36</v>
      </c>
      <c r="C181">
        <v>1951</v>
      </c>
      <c r="D181">
        <v>46</v>
      </c>
      <c r="E181">
        <v>11</v>
      </c>
      <c r="F181">
        <v>129</v>
      </c>
      <c r="G181">
        <v>2.3300000000000001E-2</v>
      </c>
      <c r="H181">
        <v>0.24399999999999999</v>
      </c>
      <c r="I181">
        <v>2.83</v>
      </c>
      <c r="J181" t="s">
        <v>37</v>
      </c>
      <c r="K181">
        <v>4683</v>
      </c>
      <c r="L181">
        <v>48</v>
      </c>
      <c r="M181">
        <v>7</v>
      </c>
      <c r="N181">
        <v>149</v>
      </c>
      <c r="O181">
        <v>1.0200000000000001E-2</v>
      </c>
      <c r="P181">
        <v>0.155</v>
      </c>
      <c r="Q181">
        <v>3.13</v>
      </c>
    </row>
    <row r="182" spans="1:17" x14ac:dyDescent="0.3">
      <c r="A182" s="1">
        <v>45107</v>
      </c>
      <c r="B182" t="s">
        <v>36</v>
      </c>
      <c r="C182">
        <v>1937</v>
      </c>
      <c r="D182">
        <v>55</v>
      </c>
      <c r="E182">
        <v>13</v>
      </c>
      <c r="F182">
        <v>48</v>
      </c>
      <c r="G182">
        <v>2.81E-2</v>
      </c>
      <c r="H182">
        <v>0.23669999999999999</v>
      </c>
      <c r="I182">
        <v>0.89</v>
      </c>
      <c r="J182" t="s">
        <v>37</v>
      </c>
      <c r="K182">
        <v>4284</v>
      </c>
      <c r="L182">
        <v>54</v>
      </c>
      <c r="M182">
        <v>6</v>
      </c>
      <c r="N182">
        <v>161</v>
      </c>
      <c r="O182">
        <v>1.2500000000000001E-2</v>
      </c>
      <c r="P182">
        <v>0.106</v>
      </c>
      <c r="Q182">
        <v>3.01</v>
      </c>
    </row>
    <row r="183" spans="1:17" x14ac:dyDescent="0.3">
      <c r="A183" s="1">
        <v>45108</v>
      </c>
      <c r="B183" t="s">
        <v>38</v>
      </c>
      <c r="C183">
        <v>1265</v>
      </c>
      <c r="D183">
        <v>42</v>
      </c>
      <c r="E183">
        <v>10</v>
      </c>
      <c r="F183">
        <v>68</v>
      </c>
      <c r="G183">
        <v>3.32E-2</v>
      </c>
      <c r="H183">
        <v>0.24759999999999999</v>
      </c>
      <c r="I183">
        <v>1.62</v>
      </c>
      <c r="J183" t="s">
        <v>39</v>
      </c>
      <c r="K183">
        <v>4557</v>
      </c>
      <c r="L183">
        <v>75</v>
      </c>
      <c r="M183">
        <v>7</v>
      </c>
      <c r="N183">
        <v>160</v>
      </c>
      <c r="O183">
        <v>1.6500000000000001E-2</v>
      </c>
      <c r="P183">
        <v>0.09</v>
      </c>
      <c r="Q183">
        <v>2.13</v>
      </c>
    </row>
    <row r="184" spans="1:17" x14ac:dyDescent="0.3">
      <c r="A184" s="1">
        <v>45109</v>
      </c>
      <c r="B184" t="s">
        <v>38</v>
      </c>
      <c r="C184">
        <v>1527</v>
      </c>
      <c r="D184">
        <v>31</v>
      </c>
      <c r="E184">
        <v>7</v>
      </c>
      <c r="F184">
        <v>62</v>
      </c>
      <c r="G184">
        <v>2.0199999999999999E-2</v>
      </c>
      <c r="H184">
        <v>0.23250000000000001</v>
      </c>
      <c r="I184">
        <v>2.0099999999999998</v>
      </c>
      <c r="J184" t="s">
        <v>39</v>
      </c>
      <c r="K184">
        <v>5740</v>
      </c>
      <c r="L184">
        <v>74</v>
      </c>
      <c r="M184">
        <v>8</v>
      </c>
      <c r="N184">
        <v>81</v>
      </c>
      <c r="O184">
        <v>1.29E-2</v>
      </c>
      <c r="P184">
        <v>0.10390000000000001</v>
      </c>
      <c r="Q184">
        <v>1.0900000000000001</v>
      </c>
    </row>
    <row r="185" spans="1:17" x14ac:dyDescent="0.3">
      <c r="A185" s="1">
        <v>45110</v>
      </c>
      <c r="B185" t="s">
        <v>38</v>
      </c>
      <c r="C185">
        <v>1824</v>
      </c>
      <c r="D185">
        <v>30</v>
      </c>
      <c r="E185">
        <v>7</v>
      </c>
      <c r="F185">
        <v>95</v>
      </c>
      <c r="G185">
        <v>1.6299999999999999E-2</v>
      </c>
      <c r="H185">
        <v>0.23369999999999999</v>
      </c>
      <c r="I185">
        <v>3.19</v>
      </c>
      <c r="J185" t="s">
        <v>39</v>
      </c>
      <c r="K185">
        <v>3823</v>
      </c>
      <c r="L185">
        <v>85</v>
      </c>
      <c r="M185">
        <v>6</v>
      </c>
      <c r="N185">
        <v>110</v>
      </c>
      <c r="O185">
        <v>2.2200000000000001E-2</v>
      </c>
      <c r="P185">
        <v>7.3599999999999999E-2</v>
      </c>
      <c r="Q185">
        <v>1.3</v>
      </c>
    </row>
    <row r="186" spans="1:17" x14ac:dyDescent="0.3">
      <c r="A186" s="1">
        <v>45111</v>
      </c>
      <c r="B186" t="s">
        <v>38</v>
      </c>
      <c r="C186">
        <v>1372</v>
      </c>
      <c r="D186">
        <v>47</v>
      </c>
      <c r="E186">
        <v>12</v>
      </c>
      <c r="F186">
        <v>119</v>
      </c>
      <c r="G186">
        <v>3.4099999999999998E-2</v>
      </c>
      <c r="H186">
        <v>0.2641</v>
      </c>
      <c r="I186">
        <v>2.5499999999999998</v>
      </c>
      <c r="J186" t="s">
        <v>39</v>
      </c>
      <c r="K186">
        <v>5207</v>
      </c>
      <c r="L186">
        <v>54</v>
      </c>
      <c r="M186">
        <v>6</v>
      </c>
      <c r="N186">
        <v>161</v>
      </c>
      <c r="O186">
        <v>1.03E-2</v>
      </c>
      <c r="P186">
        <v>0.1061</v>
      </c>
      <c r="Q186">
        <v>3</v>
      </c>
    </row>
    <row r="187" spans="1:17" x14ac:dyDescent="0.3">
      <c r="A187" s="1">
        <v>45112</v>
      </c>
      <c r="B187" t="s">
        <v>38</v>
      </c>
      <c r="C187">
        <v>2338</v>
      </c>
      <c r="D187">
        <v>40</v>
      </c>
      <c r="E187">
        <v>13</v>
      </c>
      <c r="F187">
        <v>41</v>
      </c>
      <c r="G187">
        <v>1.6899999999999998E-2</v>
      </c>
      <c r="H187">
        <v>0.3266</v>
      </c>
      <c r="I187">
        <v>1.04</v>
      </c>
      <c r="J187" t="s">
        <v>39</v>
      </c>
      <c r="K187">
        <v>4209</v>
      </c>
      <c r="L187">
        <v>43</v>
      </c>
      <c r="M187">
        <v>7</v>
      </c>
      <c r="N187">
        <v>129</v>
      </c>
      <c r="O187">
        <v>1.03E-2</v>
      </c>
      <c r="P187">
        <v>0.16589999999999999</v>
      </c>
      <c r="Q187">
        <v>2.99</v>
      </c>
    </row>
    <row r="188" spans="1:17" x14ac:dyDescent="0.3">
      <c r="A188" s="1">
        <v>45113</v>
      </c>
      <c r="B188" t="s">
        <v>38</v>
      </c>
      <c r="C188">
        <v>1534</v>
      </c>
      <c r="D188">
        <v>33</v>
      </c>
      <c r="E188">
        <v>10</v>
      </c>
      <c r="F188">
        <v>98</v>
      </c>
      <c r="G188">
        <v>2.1700000000000001E-2</v>
      </c>
      <c r="H188">
        <v>0.29010000000000002</v>
      </c>
      <c r="I188">
        <v>2.94</v>
      </c>
      <c r="J188" t="s">
        <v>39</v>
      </c>
      <c r="K188">
        <v>4804</v>
      </c>
      <c r="L188">
        <v>54</v>
      </c>
      <c r="M188">
        <v>6</v>
      </c>
      <c r="N188">
        <v>178</v>
      </c>
      <c r="O188">
        <v>1.1299999999999999E-2</v>
      </c>
      <c r="P188">
        <v>0.1051</v>
      </c>
      <c r="Q188">
        <v>3.27</v>
      </c>
    </row>
    <row r="189" spans="1:17" x14ac:dyDescent="0.3">
      <c r="A189" s="1">
        <v>45114</v>
      </c>
      <c r="B189" t="s">
        <v>38</v>
      </c>
      <c r="C189">
        <v>1280</v>
      </c>
      <c r="D189">
        <v>46</v>
      </c>
      <c r="E189">
        <v>12</v>
      </c>
      <c r="F189">
        <v>134</v>
      </c>
      <c r="G189">
        <v>3.5999999999999997E-2</v>
      </c>
      <c r="H189">
        <v>0.2651</v>
      </c>
      <c r="I189">
        <v>2.9</v>
      </c>
      <c r="J189" t="s">
        <v>39</v>
      </c>
      <c r="K189">
        <v>4571</v>
      </c>
      <c r="L189">
        <v>54</v>
      </c>
      <c r="M189">
        <v>8</v>
      </c>
      <c r="N189">
        <v>111</v>
      </c>
      <c r="O189">
        <v>1.1900000000000001E-2</v>
      </c>
      <c r="P189">
        <v>0.14199999999999999</v>
      </c>
      <c r="Q189">
        <v>2.0499999999999998</v>
      </c>
    </row>
    <row r="190" spans="1:17" x14ac:dyDescent="0.3">
      <c r="A190" s="1">
        <v>45115</v>
      </c>
      <c r="B190" t="s">
        <v>38</v>
      </c>
      <c r="C190">
        <v>2105</v>
      </c>
      <c r="D190">
        <v>53</v>
      </c>
      <c r="E190">
        <v>15</v>
      </c>
      <c r="F190">
        <v>131</v>
      </c>
      <c r="G190">
        <v>2.5100000000000001E-2</v>
      </c>
      <c r="H190">
        <v>0.27579999999999999</v>
      </c>
      <c r="I190">
        <v>2.48</v>
      </c>
      <c r="J190" t="s">
        <v>39</v>
      </c>
      <c r="K190">
        <v>4378</v>
      </c>
      <c r="L190">
        <v>55</v>
      </c>
      <c r="M190">
        <v>5</v>
      </c>
      <c r="N190">
        <v>137</v>
      </c>
      <c r="O190">
        <v>1.26E-2</v>
      </c>
      <c r="P190">
        <v>8.6400000000000005E-2</v>
      </c>
      <c r="Q190">
        <v>2.5</v>
      </c>
    </row>
    <row r="191" spans="1:17" x14ac:dyDescent="0.3">
      <c r="A191" s="1">
        <v>45116</v>
      </c>
      <c r="B191" t="s">
        <v>38</v>
      </c>
      <c r="C191">
        <v>3075</v>
      </c>
      <c r="D191">
        <v>39</v>
      </c>
      <c r="E191">
        <v>11</v>
      </c>
      <c r="F191">
        <v>43</v>
      </c>
      <c r="G191">
        <v>1.2800000000000001E-2</v>
      </c>
      <c r="H191">
        <v>0.27629999999999999</v>
      </c>
      <c r="I191">
        <v>1.0900000000000001</v>
      </c>
      <c r="J191" t="s">
        <v>39</v>
      </c>
      <c r="K191">
        <v>3838</v>
      </c>
      <c r="L191">
        <v>57</v>
      </c>
      <c r="M191">
        <v>7</v>
      </c>
      <c r="N191">
        <v>134</v>
      </c>
      <c r="O191">
        <v>1.4800000000000001E-2</v>
      </c>
      <c r="P191">
        <v>0.1203</v>
      </c>
      <c r="Q191">
        <v>2.35</v>
      </c>
    </row>
    <row r="192" spans="1:17" x14ac:dyDescent="0.3">
      <c r="A192" s="1">
        <v>45117</v>
      </c>
      <c r="B192" t="s">
        <v>38</v>
      </c>
      <c r="C192">
        <v>1153</v>
      </c>
      <c r="D192">
        <v>56</v>
      </c>
      <c r="E192">
        <v>12</v>
      </c>
      <c r="F192">
        <v>136</v>
      </c>
      <c r="G192">
        <v>4.8899999999999999E-2</v>
      </c>
      <c r="H192">
        <v>0.2177</v>
      </c>
      <c r="I192">
        <v>2.41</v>
      </c>
      <c r="J192" t="s">
        <v>39</v>
      </c>
      <c r="K192">
        <v>4386</v>
      </c>
      <c r="L192">
        <v>49</v>
      </c>
      <c r="M192">
        <v>4</v>
      </c>
      <c r="N192">
        <v>173</v>
      </c>
      <c r="O192">
        <v>1.11E-2</v>
      </c>
      <c r="P192">
        <v>9.1200000000000003E-2</v>
      </c>
      <c r="Q192">
        <v>3.57</v>
      </c>
    </row>
    <row r="193" spans="1:17" x14ac:dyDescent="0.3">
      <c r="A193" s="1">
        <v>45118</v>
      </c>
      <c r="B193" t="s">
        <v>38</v>
      </c>
      <c r="C193">
        <v>2001</v>
      </c>
      <c r="D193">
        <v>55</v>
      </c>
      <c r="E193">
        <v>12</v>
      </c>
      <c r="F193">
        <v>103</v>
      </c>
      <c r="G193">
        <v>2.76E-2</v>
      </c>
      <c r="H193">
        <v>0.21809999999999999</v>
      </c>
      <c r="I193">
        <v>1.86</v>
      </c>
      <c r="J193" t="s">
        <v>39</v>
      </c>
      <c r="K193">
        <v>4706</v>
      </c>
      <c r="L193">
        <v>79</v>
      </c>
      <c r="M193">
        <v>8</v>
      </c>
      <c r="N193">
        <v>109</v>
      </c>
      <c r="O193">
        <v>1.6799999999999999E-2</v>
      </c>
      <c r="P193">
        <v>0.10059999999999999</v>
      </c>
      <c r="Q193">
        <v>1.38</v>
      </c>
    </row>
    <row r="194" spans="1:17" x14ac:dyDescent="0.3">
      <c r="A194" s="1">
        <v>45119</v>
      </c>
      <c r="B194" t="s">
        <v>38</v>
      </c>
      <c r="C194">
        <v>2756</v>
      </c>
      <c r="D194">
        <v>39</v>
      </c>
      <c r="E194">
        <v>11</v>
      </c>
      <c r="F194">
        <v>64</v>
      </c>
      <c r="G194">
        <v>1.4E-2</v>
      </c>
      <c r="H194">
        <v>0.27789999999999998</v>
      </c>
      <c r="I194">
        <v>1.66</v>
      </c>
      <c r="J194" t="s">
        <v>39</v>
      </c>
      <c r="K194">
        <v>5673</v>
      </c>
      <c r="L194">
        <v>80</v>
      </c>
      <c r="M194">
        <v>7</v>
      </c>
      <c r="N194">
        <v>150</v>
      </c>
      <c r="O194">
        <v>1.41E-2</v>
      </c>
      <c r="P194">
        <v>8.7499999999999994E-2</v>
      </c>
      <c r="Q194">
        <v>1.88</v>
      </c>
    </row>
    <row r="195" spans="1:17" x14ac:dyDescent="0.3">
      <c r="A195" s="1">
        <v>45120</v>
      </c>
      <c r="B195" t="s">
        <v>38</v>
      </c>
      <c r="C195">
        <v>3147</v>
      </c>
      <c r="D195">
        <v>50</v>
      </c>
      <c r="E195">
        <v>14</v>
      </c>
      <c r="F195">
        <v>103</v>
      </c>
      <c r="G195">
        <v>1.6E-2</v>
      </c>
      <c r="H195">
        <v>0.2797</v>
      </c>
      <c r="I195">
        <v>2.0499999999999998</v>
      </c>
      <c r="J195" t="s">
        <v>39</v>
      </c>
      <c r="K195">
        <v>4286</v>
      </c>
      <c r="L195">
        <v>47</v>
      </c>
      <c r="M195">
        <v>3</v>
      </c>
      <c r="N195">
        <v>132</v>
      </c>
      <c r="O195">
        <v>1.11E-2</v>
      </c>
      <c r="P195">
        <v>7.1099999999999997E-2</v>
      </c>
      <c r="Q195">
        <v>2.79</v>
      </c>
    </row>
    <row r="196" spans="1:17" x14ac:dyDescent="0.3">
      <c r="A196" s="1">
        <v>45121</v>
      </c>
      <c r="B196" t="s">
        <v>38</v>
      </c>
      <c r="C196">
        <v>1050</v>
      </c>
      <c r="D196">
        <v>27</v>
      </c>
      <c r="E196">
        <v>6</v>
      </c>
      <c r="F196">
        <v>114</v>
      </c>
      <c r="G196">
        <v>2.6100000000000002E-2</v>
      </c>
      <c r="H196">
        <v>0.23649999999999999</v>
      </c>
      <c r="I196">
        <v>4.1399999999999997</v>
      </c>
      <c r="J196" t="s">
        <v>39</v>
      </c>
      <c r="K196">
        <v>5220</v>
      </c>
      <c r="L196">
        <v>73</v>
      </c>
      <c r="M196">
        <v>5</v>
      </c>
      <c r="N196">
        <v>109</v>
      </c>
      <c r="O196">
        <v>1.4E-2</v>
      </c>
      <c r="P196">
        <v>6.3700000000000007E-2</v>
      </c>
      <c r="Q196">
        <v>1.49</v>
      </c>
    </row>
    <row r="197" spans="1:17" x14ac:dyDescent="0.3">
      <c r="A197" s="1">
        <v>45122</v>
      </c>
      <c r="B197" t="s">
        <v>38</v>
      </c>
      <c r="C197">
        <v>2930</v>
      </c>
      <c r="D197">
        <v>65</v>
      </c>
      <c r="E197">
        <v>18</v>
      </c>
      <c r="F197">
        <v>47</v>
      </c>
      <c r="G197">
        <v>2.23E-2</v>
      </c>
      <c r="H197">
        <v>0.27660000000000001</v>
      </c>
      <c r="I197">
        <v>0.71</v>
      </c>
      <c r="J197" t="s">
        <v>39</v>
      </c>
      <c r="K197">
        <v>5045</v>
      </c>
      <c r="L197">
        <v>46</v>
      </c>
      <c r="M197">
        <v>4</v>
      </c>
      <c r="N197">
        <v>169</v>
      </c>
      <c r="O197">
        <v>8.9999999999999993E-3</v>
      </c>
      <c r="P197">
        <v>9.3799999999999994E-2</v>
      </c>
      <c r="Q197">
        <v>3.7</v>
      </c>
    </row>
    <row r="198" spans="1:17" x14ac:dyDescent="0.3">
      <c r="A198" s="1">
        <v>45123</v>
      </c>
      <c r="B198" t="s">
        <v>38</v>
      </c>
      <c r="C198">
        <v>2578</v>
      </c>
      <c r="D198">
        <v>54</v>
      </c>
      <c r="E198">
        <v>12</v>
      </c>
      <c r="F198">
        <v>76</v>
      </c>
      <c r="G198">
        <v>2.1100000000000001E-2</v>
      </c>
      <c r="H198">
        <v>0.21840000000000001</v>
      </c>
      <c r="I198">
        <v>1.4</v>
      </c>
      <c r="J198" t="s">
        <v>39</v>
      </c>
      <c r="K198">
        <v>3857</v>
      </c>
      <c r="L198">
        <v>67</v>
      </c>
      <c r="M198">
        <v>7</v>
      </c>
      <c r="N198">
        <v>187</v>
      </c>
      <c r="O198">
        <v>1.7500000000000002E-2</v>
      </c>
      <c r="P198">
        <v>0.10929999999999999</v>
      </c>
      <c r="Q198">
        <v>2.77</v>
      </c>
    </row>
    <row r="199" spans="1:17" x14ac:dyDescent="0.3">
      <c r="A199" s="1">
        <v>45124</v>
      </c>
      <c r="B199" t="s">
        <v>38</v>
      </c>
      <c r="C199">
        <v>2237</v>
      </c>
      <c r="D199">
        <v>56</v>
      </c>
      <c r="E199">
        <v>15</v>
      </c>
      <c r="F199">
        <v>52</v>
      </c>
      <c r="G199">
        <v>2.5100000000000001E-2</v>
      </c>
      <c r="H199">
        <v>0.2712</v>
      </c>
      <c r="I199">
        <v>0.93</v>
      </c>
      <c r="J199" t="s">
        <v>39</v>
      </c>
      <c r="K199">
        <v>4357</v>
      </c>
      <c r="L199">
        <v>72</v>
      </c>
      <c r="M199">
        <v>6</v>
      </c>
      <c r="N199">
        <v>117</v>
      </c>
      <c r="O199">
        <v>1.66E-2</v>
      </c>
      <c r="P199">
        <v>7.7600000000000002E-2</v>
      </c>
      <c r="Q199">
        <v>1.62</v>
      </c>
    </row>
    <row r="200" spans="1:17" x14ac:dyDescent="0.3">
      <c r="A200" s="1">
        <v>45125</v>
      </c>
      <c r="B200" t="s">
        <v>38</v>
      </c>
      <c r="C200">
        <v>3213</v>
      </c>
      <c r="D200">
        <v>36</v>
      </c>
      <c r="E200">
        <v>10</v>
      </c>
      <c r="F200">
        <v>87</v>
      </c>
      <c r="G200">
        <v>1.12E-2</v>
      </c>
      <c r="H200">
        <v>0.2833</v>
      </c>
      <c r="I200">
        <v>2.41</v>
      </c>
      <c r="J200" t="s">
        <v>39</v>
      </c>
      <c r="K200">
        <v>5160</v>
      </c>
      <c r="L200">
        <v>81</v>
      </c>
      <c r="M200">
        <v>9</v>
      </c>
      <c r="N200">
        <v>190</v>
      </c>
      <c r="O200">
        <v>1.5699999999999999E-2</v>
      </c>
      <c r="P200">
        <v>0.1118</v>
      </c>
      <c r="Q200">
        <v>2.34</v>
      </c>
    </row>
    <row r="201" spans="1:17" x14ac:dyDescent="0.3">
      <c r="A201" s="1">
        <v>45126</v>
      </c>
      <c r="B201" t="s">
        <v>38</v>
      </c>
      <c r="C201">
        <v>2241</v>
      </c>
      <c r="D201">
        <v>30</v>
      </c>
      <c r="E201">
        <v>10</v>
      </c>
      <c r="F201">
        <v>135</v>
      </c>
      <c r="G201">
        <v>1.3299999999999999E-2</v>
      </c>
      <c r="H201">
        <v>0.3347</v>
      </c>
      <c r="I201">
        <v>4.53</v>
      </c>
      <c r="J201" t="s">
        <v>39</v>
      </c>
      <c r="K201">
        <v>4220</v>
      </c>
      <c r="L201">
        <v>38</v>
      </c>
      <c r="M201">
        <v>7</v>
      </c>
      <c r="N201">
        <v>79</v>
      </c>
      <c r="O201">
        <v>8.9999999999999993E-3</v>
      </c>
      <c r="P201">
        <v>0.18190000000000001</v>
      </c>
      <c r="Q201">
        <v>2.09</v>
      </c>
    </row>
    <row r="202" spans="1:17" x14ac:dyDescent="0.3">
      <c r="A202" s="1">
        <v>45127</v>
      </c>
      <c r="B202" t="s">
        <v>38</v>
      </c>
      <c r="C202">
        <v>2925</v>
      </c>
      <c r="D202">
        <v>62</v>
      </c>
      <c r="E202">
        <v>17</v>
      </c>
      <c r="F202">
        <v>59</v>
      </c>
      <c r="G202">
        <v>2.1100000000000001E-2</v>
      </c>
      <c r="H202">
        <v>0.28120000000000001</v>
      </c>
      <c r="I202">
        <v>0.95</v>
      </c>
      <c r="J202" t="s">
        <v>39</v>
      </c>
      <c r="K202">
        <v>4253</v>
      </c>
      <c r="L202">
        <v>41</v>
      </c>
      <c r="M202">
        <v>4</v>
      </c>
      <c r="N202">
        <v>131</v>
      </c>
      <c r="O202">
        <v>9.7000000000000003E-3</v>
      </c>
      <c r="P202">
        <v>9.8500000000000004E-2</v>
      </c>
      <c r="Q202">
        <v>3.17</v>
      </c>
    </row>
    <row r="203" spans="1:17" x14ac:dyDescent="0.3">
      <c r="A203" s="1">
        <v>45128</v>
      </c>
      <c r="B203" t="s">
        <v>38</v>
      </c>
      <c r="C203">
        <v>1254</v>
      </c>
      <c r="D203">
        <v>36</v>
      </c>
      <c r="E203">
        <v>10</v>
      </c>
      <c r="F203">
        <v>88</v>
      </c>
      <c r="G203">
        <v>2.8500000000000001E-2</v>
      </c>
      <c r="H203">
        <v>0.2838</v>
      </c>
      <c r="I203">
        <v>2.4500000000000002</v>
      </c>
      <c r="J203" t="s">
        <v>39</v>
      </c>
      <c r="K203">
        <v>4642</v>
      </c>
      <c r="L203">
        <v>78</v>
      </c>
      <c r="M203">
        <v>5</v>
      </c>
      <c r="N203">
        <v>110</v>
      </c>
      <c r="O203">
        <v>1.6799999999999999E-2</v>
      </c>
      <c r="P203">
        <v>6.2799999999999995E-2</v>
      </c>
      <c r="Q203">
        <v>1.41</v>
      </c>
    </row>
    <row r="204" spans="1:17" x14ac:dyDescent="0.3">
      <c r="A204" s="1">
        <v>45129</v>
      </c>
      <c r="B204" t="s">
        <v>38</v>
      </c>
      <c r="C204">
        <v>1374</v>
      </c>
      <c r="D204">
        <v>54</v>
      </c>
      <c r="E204">
        <v>13</v>
      </c>
      <c r="F204">
        <v>93</v>
      </c>
      <c r="G204">
        <v>3.9199999999999999E-2</v>
      </c>
      <c r="H204">
        <v>0.23719999999999999</v>
      </c>
      <c r="I204">
        <v>1.73</v>
      </c>
      <c r="J204" t="s">
        <v>39</v>
      </c>
      <c r="K204">
        <v>5143</v>
      </c>
      <c r="L204">
        <v>75</v>
      </c>
      <c r="M204">
        <v>5</v>
      </c>
      <c r="N204">
        <v>103</v>
      </c>
      <c r="O204">
        <v>1.47E-2</v>
      </c>
      <c r="P204">
        <v>6.3299999999999995E-2</v>
      </c>
      <c r="Q204">
        <v>1.36</v>
      </c>
    </row>
    <row r="205" spans="1:17" x14ac:dyDescent="0.3">
      <c r="A205" s="1">
        <v>45130</v>
      </c>
      <c r="B205" t="s">
        <v>38</v>
      </c>
      <c r="C205">
        <v>2658</v>
      </c>
      <c r="D205">
        <v>60</v>
      </c>
      <c r="E205">
        <v>13</v>
      </c>
      <c r="F205">
        <v>109</v>
      </c>
      <c r="G205">
        <v>2.2700000000000001E-2</v>
      </c>
      <c r="H205">
        <v>0.21659999999999999</v>
      </c>
      <c r="I205">
        <v>1.8</v>
      </c>
      <c r="J205" t="s">
        <v>39</v>
      </c>
      <c r="K205">
        <v>4239</v>
      </c>
      <c r="L205">
        <v>56</v>
      </c>
      <c r="M205">
        <v>6</v>
      </c>
      <c r="N205">
        <v>81</v>
      </c>
      <c r="O205">
        <v>1.3299999999999999E-2</v>
      </c>
      <c r="P205">
        <v>0.10340000000000001</v>
      </c>
      <c r="Q205">
        <v>1.44</v>
      </c>
    </row>
    <row r="206" spans="1:17" x14ac:dyDescent="0.3">
      <c r="A206" s="1">
        <v>45131</v>
      </c>
      <c r="B206" t="s">
        <v>38</v>
      </c>
      <c r="C206">
        <v>1200</v>
      </c>
      <c r="D206">
        <v>49</v>
      </c>
      <c r="E206">
        <v>11</v>
      </c>
      <c r="F206">
        <v>112</v>
      </c>
      <c r="G206">
        <v>4.0800000000000003E-2</v>
      </c>
      <c r="H206">
        <v>0.22040000000000001</v>
      </c>
      <c r="I206">
        <v>2.29</v>
      </c>
      <c r="J206" t="s">
        <v>39</v>
      </c>
      <c r="K206">
        <v>4867</v>
      </c>
      <c r="L206">
        <v>57</v>
      </c>
      <c r="M206">
        <v>8</v>
      </c>
      <c r="N206">
        <v>172</v>
      </c>
      <c r="O206">
        <v>1.17E-2</v>
      </c>
      <c r="P206">
        <v>0.13780000000000001</v>
      </c>
      <c r="Q206">
        <v>3.03</v>
      </c>
    </row>
    <row r="207" spans="1:17" x14ac:dyDescent="0.3">
      <c r="A207" s="1">
        <v>45132</v>
      </c>
      <c r="B207" t="s">
        <v>38</v>
      </c>
      <c r="C207">
        <v>2663</v>
      </c>
      <c r="D207">
        <v>64</v>
      </c>
      <c r="E207">
        <v>17</v>
      </c>
      <c r="F207">
        <v>47</v>
      </c>
      <c r="G207">
        <v>2.3900000000000001E-2</v>
      </c>
      <c r="H207">
        <v>0.26290000000000002</v>
      </c>
      <c r="I207">
        <v>0.74</v>
      </c>
      <c r="J207" t="s">
        <v>39</v>
      </c>
      <c r="K207">
        <v>4885</v>
      </c>
      <c r="L207">
        <v>53</v>
      </c>
      <c r="M207">
        <v>6</v>
      </c>
      <c r="N207">
        <v>119</v>
      </c>
      <c r="O207">
        <v>1.0800000000000001E-2</v>
      </c>
      <c r="P207">
        <v>0.1071</v>
      </c>
      <c r="Q207">
        <v>2.2599999999999998</v>
      </c>
    </row>
    <row r="208" spans="1:17" x14ac:dyDescent="0.3">
      <c r="A208" s="1">
        <v>45133</v>
      </c>
      <c r="B208" t="s">
        <v>38</v>
      </c>
      <c r="C208">
        <v>2922</v>
      </c>
      <c r="D208">
        <v>42</v>
      </c>
      <c r="E208">
        <v>13</v>
      </c>
      <c r="F208">
        <v>69</v>
      </c>
      <c r="G208">
        <v>1.43E-2</v>
      </c>
      <c r="H208">
        <v>0.31990000000000002</v>
      </c>
      <c r="I208">
        <v>1.66</v>
      </c>
      <c r="J208" t="s">
        <v>39</v>
      </c>
      <c r="K208">
        <v>4790</v>
      </c>
      <c r="L208">
        <v>74</v>
      </c>
      <c r="M208">
        <v>7</v>
      </c>
      <c r="N208">
        <v>130</v>
      </c>
      <c r="O208">
        <v>1.55E-2</v>
      </c>
      <c r="P208">
        <v>9.0399999999999994E-2</v>
      </c>
      <c r="Q208">
        <v>1.75</v>
      </c>
    </row>
    <row r="209" spans="1:17" x14ac:dyDescent="0.3">
      <c r="A209" s="1">
        <v>45134</v>
      </c>
      <c r="B209" t="s">
        <v>38</v>
      </c>
      <c r="C209">
        <v>2344</v>
      </c>
      <c r="D209">
        <v>60</v>
      </c>
      <c r="E209">
        <v>13</v>
      </c>
      <c r="F209">
        <v>100</v>
      </c>
      <c r="G209">
        <v>2.5499999999999998E-2</v>
      </c>
      <c r="H209">
        <v>0.21679999999999999</v>
      </c>
      <c r="I209">
        <v>1.67</v>
      </c>
      <c r="J209" t="s">
        <v>39</v>
      </c>
      <c r="K209">
        <v>5166</v>
      </c>
      <c r="L209">
        <v>75</v>
      </c>
      <c r="M209">
        <v>7</v>
      </c>
      <c r="N209">
        <v>181</v>
      </c>
      <c r="O209">
        <v>1.4500000000000001E-2</v>
      </c>
      <c r="P209">
        <v>9.01E-2</v>
      </c>
      <c r="Q209">
        <v>2.41</v>
      </c>
    </row>
    <row r="210" spans="1:17" x14ac:dyDescent="0.3">
      <c r="A210" s="1">
        <v>45135</v>
      </c>
      <c r="B210" t="s">
        <v>38</v>
      </c>
      <c r="C210">
        <v>1102</v>
      </c>
      <c r="D210">
        <v>40</v>
      </c>
      <c r="E210">
        <v>13</v>
      </c>
      <c r="F210">
        <v>74</v>
      </c>
      <c r="G210">
        <v>3.6600000000000001E-2</v>
      </c>
      <c r="H210">
        <v>0.3241</v>
      </c>
      <c r="I210">
        <v>1.83</v>
      </c>
      <c r="J210" t="s">
        <v>39</v>
      </c>
      <c r="K210">
        <v>4893</v>
      </c>
      <c r="L210">
        <v>78</v>
      </c>
      <c r="M210">
        <v>9</v>
      </c>
      <c r="N210">
        <v>83</v>
      </c>
      <c r="O210">
        <v>1.5900000000000001E-2</v>
      </c>
      <c r="P210">
        <v>0.11409999999999999</v>
      </c>
      <c r="Q210">
        <v>1.06</v>
      </c>
    </row>
    <row r="211" spans="1:17" x14ac:dyDescent="0.3">
      <c r="A211" s="1">
        <v>45136</v>
      </c>
      <c r="B211" t="s">
        <v>38</v>
      </c>
      <c r="C211">
        <v>2187</v>
      </c>
      <c r="D211">
        <v>38</v>
      </c>
      <c r="E211">
        <v>12</v>
      </c>
      <c r="F211">
        <v>83</v>
      </c>
      <c r="G211">
        <v>1.7299999999999999E-2</v>
      </c>
      <c r="H211">
        <v>0.30580000000000002</v>
      </c>
      <c r="I211">
        <v>2.21</v>
      </c>
      <c r="J211" t="s">
        <v>39</v>
      </c>
      <c r="K211">
        <v>4290</v>
      </c>
      <c r="L211">
        <v>37</v>
      </c>
      <c r="M211">
        <v>3</v>
      </c>
      <c r="N211">
        <v>167</v>
      </c>
      <c r="O211">
        <v>8.6E-3</v>
      </c>
      <c r="P211">
        <v>7.6999999999999999E-2</v>
      </c>
      <c r="Q211">
        <v>4.51</v>
      </c>
    </row>
    <row r="212" spans="1:17" x14ac:dyDescent="0.3">
      <c r="A212" s="1">
        <v>45137</v>
      </c>
      <c r="B212" t="s">
        <v>38</v>
      </c>
      <c r="C212">
        <v>2451</v>
      </c>
      <c r="D212">
        <v>46</v>
      </c>
      <c r="E212">
        <v>12</v>
      </c>
      <c r="F212">
        <v>106</v>
      </c>
      <c r="G212">
        <v>1.8599999999999998E-2</v>
      </c>
      <c r="H212">
        <v>0.2656</v>
      </c>
      <c r="I212">
        <v>2.33</v>
      </c>
      <c r="J212" t="s">
        <v>39</v>
      </c>
      <c r="K212">
        <v>4601</v>
      </c>
      <c r="L212">
        <v>78</v>
      </c>
      <c r="M212">
        <v>8</v>
      </c>
      <c r="N212">
        <v>176</v>
      </c>
      <c r="O212">
        <v>1.6899999999999998E-2</v>
      </c>
      <c r="P212">
        <v>0.1014</v>
      </c>
      <c r="Q212">
        <v>2.27</v>
      </c>
    </row>
    <row r="213" spans="1:17" x14ac:dyDescent="0.3">
      <c r="A213" s="1">
        <v>45138</v>
      </c>
      <c r="B213" t="s">
        <v>38</v>
      </c>
      <c r="C213">
        <v>1650</v>
      </c>
      <c r="D213">
        <v>51</v>
      </c>
      <c r="E213">
        <v>14</v>
      </c>
      <c r="F213">
        <v>44</v>
      </c>
      <c r="G213">
        <v>3.0800000000000001E-2</v>
      </c>
      <c r="H213">
        <v>0.2787</v>
      </c>
      <c r="I213">
        <v>0.86</v>
      </c>
      <c r="J213" t="s">
        <v>39</v>
      </c>
      <c r="K213">
        <v>5272</v>
      </c>
      <c r="L213">
        <v>83</v>
      </c>
      <c r="M213">
        <v>8</v>
      </c>
      <c r="N213">
        <v>155</v>
      </c>
      <c r="O213">
        <v>1.5699999999999999E-2</v>
      </c>
      <c r="P213">
        <v>9.8299999999999998E-2</v>
      </c>
      <c r="Q213">
        <v>1.87</v>
      </c>
    </row>
    <row r="214" spans="1:17" x14ac:dyDescent="0.3">
      <c r="A214" s="1">
        <v>45139</v>
      </c>
      <c r="B214" t="s">
        <v>40</v>
      </c>
      <c r="C214">
        <v>1275</v>
      </c>
      <c r="D214">
        <v>66</v>
      </c>
      <c r="E214">
        <v>16</v>
      </c>
      <c r="F214">
        <v>119</v>
      </c>
      <c r="G214">
        <v>5.1499999999999997E-2</v>
      </c>
      <c r="H214">
        <v>0.2457</v>
      </c>
      <c r="I214">
        <v>1.81</v>
      </c>
      <c r="J214" t="s">
        <v>41</v>
      </c>
      <c r="K214">
        <v>4461</v>
      </c>
      <c r="L214">
        <v>41</v>
      </c>
      <c r="M214">
        <v>6</v>
      </c>
      <c r="N214">
        <v>111</v>
      </c>
      <c r="O214">
        <v>9.1999999999999998E-3</v>
      </c>
      <c r="P214">
        <v>0.1472</v>
      </c>
      <c r="Q214">
        <v>2.7</v>
      </c>
    </row>
    <row r="215" spans="1:17" x14ac:dyDescent="0.3">
      <c r="A215" s="1">
        <v>45140</v>
      </c>
      <c r="B215" t="s">
        <v>40</v>
      </c>
      <c r="C215">
        <v>2042</v>
      </c>
      <c r="D215">
        <v>53</v>
      </c>
      <c r="E215">
        <v>13</v>
      </c>
      <c r="F215">
        <v>50</v>
      </c>
      <c r="G215">
        <v>2.58E-2</v>
      </c>
      <c r="H215">
        <v>0.23799999999999999</v>
      </c>
      <c r="I215">
        <v>0.95</v>
      </c>
      <c r="J215" t="s">
        <v>41</v>
      </c>
      <c r="K215">
        <v>5586</v>
      </c>
      <c r="L215">
        <v>59</v>
      </c>
      <c r="M215">
        <v>8</v>
      </c>
      <c r="N215">
        <v>115</v>
      </c>
      <c r="O215">
        <v>1.06E-2</v>
      </c>
      <c r="P215">
        <v>0.13439999999999999</v>
      </c>
      <c r="Q215">
        <v>1.94</v>
      </c>
    </row>
    <row r="216" spans="1:17" x14ac:dyDescent="0.3">
      <c r="A216" s="1">
        <v>45141</v>
      </c>
      <c r="B216" t="s">
        <v>40</v>
      </c>
      <c r="C216">
        <v>2717</v>
      </c>
      <c r="D216">
        <v>35</v>
      </c>
      <c r="E216">
        <v>8</v>
      </c>
      <c r="F216">
        <v>57</v>
      </c>
      <c r="G216">
        <v>1.2699999999999999E-2</v>
      </c>
      <c r="H216">
        <v>0.22889999999999999</v>
      </c>
      <c r="I216">
        <v>1.64</v>
      </c>
      <c r="J216" t="s">
        <v>41</v>
      </c>
      <c r="K216">
        <v>5567</v>
      </c>
      <c r="L216">
        <v>68</v>
      </c>
      <c r="M216">
        <v>6</v>
      </c>
      <c r="N216">
        <v>185</v>
      </c>
      <c r="O216">
        <v>1.2200000000000001E-2</v>
      </c>
      <c r="P216">
        <v>9.4200000000000006E-2</v>
      </c>
      <c r="Q216">
        <v>2.73</v>
      </c>
    </row>
    <row r="217" spans="1:17" x14ac:dyDescent="0.3">
      <c r="A217" s="1">
        <v>45142</v>
      </c>
      <c r="B217" t="s">
        <v>40</v>
      </c>
      <c r="C217">
        <v>1862</v>
      </c>
      <c r="D217">
        <v>23</v>
      </c>
      <c r="E217">
        <v>10</v>
      </c>
      <c r="F217">
        <v>79</v>
      </c>
      <c r="G217">
        <v>1.2500000000000001E-2</v>
      </c>
      <c r="H217">
        <v>0.41460000000000002</v>
      </c>
      <c r="I217">
        <v>3.4</v>
      </c>
      <c r="J217" t="s">
        <v>41</v>
      </c>
      <c r="K217">
        <v>4683</v>
      </c>
      <c r="L217">
        <v>62</v>
      </c>
      <c r="M217">
        <v>5</v>
      </c>
      <c r="N217">
        <v>102</v>
      </c>
      <c r="O217">
        <v>1.32E-2</v>
      </c>
      <c r="P217">
        <v>8.2299999999999998E-2</v>
      </c>
      <c r="Q217">
        <v>1.64</v>
      </c>
    </row>
    <row r="218" spans="1:17" x14ac:dyDescent="0.3">
      <c r="A218" s="1">
        <v>45143</v>
      </c>
      <c r="B218" t="s">
        <v>40</v>
      </c>
      <c r="C218">
        <v>2589</v>
      </c>
      <c r="D218">
        <v>33</v>
      </c>
      <c r="E218">
        <v>8</v>
      </c>
      <c r="F218">
        <v>112</v>
      </c>
      <c r="G218">
        <v>1.29E-2</v>
      </c>
      <c r="H218">
        <v>0.23</v>
      </c>
      <c r="I218">
        <v>3.36</v>
      </c>
      <c r="J218" t="s">
        <v>41</v>
      </c>
      <c r="K218">
        <v>5624</v>
      </c>
      <c r="L218">
        <v>46</v>
      </c>
      <c r="M218">
        <v>3</v>
      </c>
      <c r="N218">
        <v>121</v>
      </c>
      <c r="O218">
        <v>8.0999999999999996E-3</v>
      </c>
      <c r="P218">
        <v>7.1900000000000006E-2</v>
      </c>
      <c r="Q218">
        <v>2.66</v>
      </c>
    </row>
    <row r="219" spans="1:17" x14ac:dyDescent="0.3">
      <c r="A219" s="1">
        <v>45144</v>
      </c>
      <c r="B219" t="s">
        <v>40</v>
      </c>
      <c r="C219">
        <v>2310</v>
      </c>
      <c r="D219">
        <v>55</v>
      </c>
      <c r="E219">
        <v>15</v>
      </c>
      <c r="F219">
        <v>138</v>
      </c>
      <c r="G219">
        <v>2.4E-2</v>
      </c>
      <c r="H219">
        <v>0.2722</v>
      </c>
      <c r="I219">
        <v>2.48</v>
      </c>
      <c r="J219" t="s">
        <v>41</v>
      </c>
      <c r="K219">
        <v>4099</v>
      </c>
      <c r="L219">
        <v>88</v>
      </c>
      <c r="M219">
        <v>9</v>
      </c>
      <c r="N219">
        <v>88</v>
      </c>
      <c r="O219">
        <v>2.1399999999999999E-2</v>
      </c>
      <c r="P219">
        <v>0.107</v>
      </c>
      <c r="Q219">
        <v>1</v>
      </c>
    </row>
    <row r="220" spans="1:17" x14ac:dyDescent="0.3">
      <c r="A220" s="1">
        <v>45145</v>
      </c>
      <c r="B220" t="s">
        <v>40</v>
      </c>
      <c r="C220">
        <v>1437</v>
      </c>
      <c r="D220">
        <v>58</v>
      </c>
      <c r="E220">
        <v>14</v>
      </c>
      <c r="F220">
        <v>66</v>
      </c>
      <c r="G220">
        <v>0.04</v>
      </c>
      <c r="H220">
        <v>0.23480000000000001</v>
      </c>
      <c r="I220">
        <v>1.1499999999999999</v>
      </c>
      <c r="J220" t="s">
        <v>41</v>
      </c>
      <c r="K220">
        <v>4422</v>
      </c>
      <c r="L220">
        <v>42</v>
      </c>
      <c r="M220">
        <v>7</v>
      </c>
      <c r="N220">
        <v>134</v>
      </c>
      <c r="O220">
        <v>9.4999999999999998E-3</v>
      </c>
      <c r="P220">
        <v>0.1686</v>
      </c>
      <c r="Q220">
        <v>3.17</v>
      </c>
    </row>
    <row r="221" spans="1:17" x14ac:dyDescent="0.3">
      <c r="A221" s="1">
        <v>45146</v>
      </c>
      <c r="B221" t="s">
        <v>40</v>
      </c>
      <c r="C221">
        <v>2951</v>
      </c>
      <c r="D221">
        <v>36</v>
      </c>
      <c r="E221">
        <v>11</v>
      </c>
      <c r="F221">
        <v>122</v>
      </c>
      <c r="G221">
        <v>1.2E-2</v>
      </c>
      <c r="H221">
        <v>0.31269999999999998</v>
      </c>
      <c r="I221">
        <v>3.45</v>
      </c>
      <c r="J221" t="s">
        <v>41</v>
      </c>
      <c r="K221">
        <v>4143</v>
      </c>
      <c r="L221">
        <v>54</v>
      </c>
      <c r="M221">
        <v>7</v>
      </c>
      <c r="N221">
        <v>141</v>
      </c>
      <c r="O221">
        <v>1.3100000000000001E-2</v>
      </c>
      <c r="P221">
        <v>0.1237</v>
      </c>
      <c r="Q221">
        <v>2.6</v>
      </c>
    </row>
    <row r="222" spans="1:17" x14ac:dyDescent="0.3">
      <c r="A222" s="1">
        <v>45147</v>
      </c>
      <c r="B222" t="s">
        <v>40</v>
      </c>
      <c r="C222">
        <v>3014</v>
      </c>
      <c r="D222">
        <v>42</v>
      </c>
      <c r="E222">
        <v>12</v>
      </c>
      <c r="F222">
        <v>68</v>
      </c>
      <c r="G222">
        <v>1.3899999999999999E-2</v>
      </c>
      <c r="H222">
        <v>0.29570000000000002</v>
      </c>
      <c r="I222">
        <v>1.62</v>
      </c>
      <c r="J222" t="s">
        <v>41</v>
      </c>
      <c r="K222">
        <v>3894</v>
      </c>
      <c r="L222">
        <v>46</v>
      </c>
      <c r="M222">
        <v>3</v>
      </c>
      <c r="N222">
        <v>112</v>
      </c>
      <c r="O222">
        <v>1.18E-2</v>
      </c>
      <c r="P222">
        <v>7.1800000000000003E-2</v>
      </c>
      <c r="Q222">
        <v>2.44</v>
      </c>
    </row>
    <row r="223" spans="1:17" x14ac:dyDescent="0.3">
      <c r="A223" s="1">
        <v>45148</v>
      </c>
      <c r="B223" t="s">
        <v>40</v>
      </c>
      <c r="C223">
        <v>1080</v>
      </c>
      <c r="D223">
        <v>52</v>
      </c>
      <c r="E223">
        <v>14</v>
      </c>
      <c r="F223">
        <v>52</v>
      </c>
      <c r="G223">
        <v>4.82E-2</v>
      </c>
      <c r="H223">
        <v>0.27679999999999999</v>
      </c>
      <c r="I223">
        <v>1</v>
      </c>
      <c r="J223" t="s">
        <v>41</v>
      </c>
      <c r="K223">
        <v>4560</v>
      </c>
      <c r="L223">
        <v>57</v>
      </c>
      <c r="M223">
        <v>5</v>
      </c>
      <c r="N223">
        <v>158</v>
      </c>
      <c r="O223">
        <v>1.2500000000000001E-2</v>
      </c>
      <c r="P223">
        <v>8.5000000000000006E-2</v>
      </c>
      <c r="Q223">
        <v>2.76</v>
      </c>
    </row>
    <row r="224" spans="1:17" x14ac:dyDescent="0.3">
      <c r="A224" s="1">
        <v>45149</v>
      </c>
      <c r="B224" t="s">
        <v>40</v>
      </c>
      <c r="C224">
        <v>3041</v>
      </c>
      <c r="D224">
        <v>35</v>
      </c>
      <c r="E224">
        <v>10</v>
      </c>
      <c r="F224">
        <v>53</v>
      </c>
      <c r="G224">
        <v>1.1599999999999999E-2</v>
      </c>
      <c r="H224">
        <v>0.28470000000000001</v>
      </c>
      <c r="I224">
        <v>1.49</v>
      </c>
      <c r="J224" t="s">
        <v>41</v>
      </c>
      <c r="K224">
        <v>4027</v>
      </c>
      <c r="L224">
        <v>50</v>
      </c>
      <c r="M224">
        <v>3</v>
      </c>
      <c r="N224">
        <v>142</v>
      </c>
      <c r="O224">
        <v>1.23E-2</v>
      </c>
      <c r="P224">
        <v>7.0099999999999996E-2</v>
      </c>
      <c r="Q224">
        <v>2.87</v>
      </c>
    </row>
    <row r="225" spans="1:17" x14ac:dyDescent="0.3">
      <c r="A225" s="1">
        <v>45150</v>
      </c>
      <c r="B225" t="s">
        <v>40</v>
      </c>
      <c r="C225">
        <v>2382</v>
      </c>
      <c r="D225">
        <v>34</v>
      </c>
      <c r="E225">
        <v>8</v>
      </c>
      <c r="F225">
        <v>92</v>
      </c>
      <c r="G225">
        <v>1.41E-2</v>
      </c>
      <c r="H225">
        <v>0.2298</v>
      </c>
      <c r="I225">
        <v>2.73</v>
      </c>
      <c r="J225" t="s">
        <v>41</v>
      </c>
      <c r="K225">
        <v>3938</v>
      </c>
      <c r="L225">
        <v>62</v>
      </c>
      <c r="M225">
        <v>6</v>
      </c>
      <c r="N225">
        <v>137</v>
      </c>
      <c r="O225">
        <v>1.5800000000000002E-2</v>
      </c>
      <c r="P225">
        <v>9.8299999999999998E-2</v>
      </c>
      <c r="Q225">
        <v>2.2000000000000002</v>
      </c>
    </row>
    <row r="226" spans="1:17" x14ac:dyDescent="0.3">
      <c r="A226" s="1">
        <v>45151</v>
      </c>
      <c r="B226" t="s">
        <v>40</v>
      </c>
      <c r="C226">
        <v>2502</v>
      </c>
      <c r="D226">
        <v>45</v>
      </c>
      <c r="E226">
        <v>12</v>
      </c>
      <c r="F226">
        <v>91</v>
      </c>
      <c r="G226">
        <v>1.8100000000000002E-2</v>
      </c>
      <c r="H226">
        <v>0.2661</v>
      </c>
      <c r="I226">
        <v>2.0099999999999998</v>
      </c>
      <c r="J226" t="s">
        <v>41</v>
      </c>
      <c r="K226">
        <v>4494</v>
      </c>
      <c r="L226">
        <v>85</v>
      </c>
      <c r="M226">
        <v>8</v>
      </c>
      <c r="N226">
        <v>181</v>
      </c>
      <c r="O226">
        <v>1.89E-2</v>
      </c>
      <c r="P226">
        <v>9.7199999999999995E-2</v>
      </c>
      <c r="Q226">
        <v>2.13</v>
      </c>
    </row>
    <row r="227" spans="1:17" x14ac:dyDescent="0.3">
      <c r="A227" s="1">
        <v>45152</v>
      </c>
      <c r="B227" t="s">
        <v>40</v>
      </c>
      <c r="C227">
        <v>2387</v>
      </c>
      <c r="D227">
        <v>26</v>
      </c>
      <c r="E227">
        <v>9</v>
      </c>
      <c r="F227">
        <v>54</v>
      </c>
      <c r="G227">
        <v>1.0999999999999999E-2</v>
      </c>
      <c r="H227">
        <v>0.35210000000000002</v>
      </c>
      <c r="I227">
        <v>2.06</v>
      </c>
      <c r="J227" t="s">
        <v>41</v>
      </c>
      <c r="K227">
        <v>5670</v>
      </c>
      <c r="L227">
        <v>81</v>
      </c>
      <c r="M227">
        <v>5</v>
      </c>
      <c r="N227">
        <v>155</v>
      </c>
      <c r="O227">
        <v>1.4200000000000001E-2</v>
      </c>
      <c r="P227">
        <v>6.2399999999999997E-2</v>
      </c>
      <c r="Q227">
        <v>1.92</v>
      </c>
    </row>
    <row r="228" spans="1:17" x14ac:dyDescent="0.3">
      <c r="A228" s="1">
        <v>45153</v>
      </c>
      <c r="B228" t="s">
        <v>40</v>
      </c>
      <c r="C228">
        <v>2664</v>
      </c>
      <c r="D228">
        <v>23</v>
      </c>
      <c r="E228">
        <v>7</v>
      </c>
      <c r="F228">
        <v>72</v>
      </c>
      <c r="G228">
        <v>8.6999999999999994E-3</v>
      </c>
      <c r="H228">
        <v>0.2858</v>
      </c>
      <c r="I228">
        <v>3.1</v>
      </c>
      <c r="J228" t="s">
        <v>41</v>
      </c>
      <c r="K228">
        <v>5513</v>
      </c>
      <c r="L228">
        <v>41</v>
      </c>
      <c r="M228">
        <v>3</v>
      </c>
      <c r="N228">
        <v>165</v>
      </c>
      <c r="O228">
        <v>7.4000000000000003E-3</v>
      </c>
      <c r="P228">
        <v>7.4399999999999994E-2</v>
      </c>
      <c r="Q228">
        <v>4.01</v>
      </c>
    </row>
    <row r="229" spans="1:17" x14ac:dyDescent="0.3">
      <c r="A229" s="1">
        <v>45154</v>
      </c>
      <c r="B229" t="s">
        <v>40</v>
      </c>
      <c r="C229">
        <v>2215</v>
      </c>
      <c r="D229">
        <v>56</v>
      </c>
      <c r="E229">
        <v>16</v>
      </c>
      <c r="F229">
        <v>46</v>
      </c>
      <c r="G229">
        <v>2.52E-2</v>
      </c>
      <c r="H229">
        <v>0.28960000000000002</v>
      </c>
      <c r="I229">
        <v>0.83</v>
      </c>
      <c r="J229" t="s">
        <v>41</v>
      </c>
      <c r="K229">
        <v>3782</v>
      </c>
      <c r="L229">
        <v>76</v>
      </c>
      <c r="M229">
        <v>9</v>
      </c>
      <c r="N229">
        <v>101</v>
      </c>
      <c r="O229">
        <v>2.01E-2</v>
      </c>
      <c r="P229">
        <v>0.1157</v>
      </c>
      <c r="Q229">
        <v>1.32</v>
      </c>
    </row>
    <row r="230" spans="1:17" x14ac:dyDescent="0.3">
      <c r="A230" s="1">
        <v>45155</v>
      </c>
      <c r="B230" t="s">
        <v>40</v>
      </c>
      <c r="C230">
        <v>1691</v>
      </c>
      <c r="D230">
        <v>47</v>
      </c>
      <c r="E230">
        <v>10</v>
      </c>
      <c r="F230">
        <v>127</v>
      </c>
      <c r="G230">
        <v>2.76E-2</v>
      </c>
      <c r="H230">
        <v>0.2215</v>
      </c>
      <c r="I230">
        <v>2.73</v>
      </c>
      <c r="J230" t="s">
        <v>41</v>
      </c>
      <c r="K230">
        <v>3755</v>
      </c>
      <c r="L230">
        <v>66</v>
      </c>
      <c r="M230">
        <v>7</v>
      </c>
      <c r="N230">
        <v>121</v>
      </c>
      <c r="O230">
        <v>1.77E-2</v>
      </c>
      <c r="P230">
        <v>0.11020000000000001</v>
      </c>
      <c r="Q230">
        <v>1.82</v>
      </c>
    </row>
    <row r="231" spans="1:17" x14ac:dyDescent="0.3">
      <c r="A231" s="1">
        <v>45156</v>
      </c>
      <c r="B231" t="s">
        <v>40</v>
      </c>
      <c r="C231">
        <v>1422</v>
      </c>
      <c r="D231">
        <v>51</v>
      </c>
      <c r="E231">
        <v>13</v>
      </c>
      <c r="F231">
        <v>78</v>
      </c>
      <c r="G231">
        <v>3.56E-2</v>
      </c>
      <c r="H231">
        <v>0.25929999999999997</v>
      </c>
      <c r="I231">
        <v>1.55</v>
      </c>
      <c r="J231" t="s">
        <v>41</v>
      </c>
      <c r="K231">
        <v>4561</v>
      </c>
      <c r="L231">
        <v>70</v>
      </c>
      <c r="M231">
        <v>6</v>
      </c>
      <c r="N231">
        <v>122</v>
      </c>
      <c r="O231">
        <v>1.5299999999999999E-2</v>
      </c>
      <c r="P231">
        <v>9.3100000000000002E-2</v>
      </c>
      <c r="Q231">
        <v>1.76</v>
      </c>
    </row>
    <row r="232" spans="1:17" x14ac:dyDescent="0.3">
      <c r="A232" s="1">
        <v>45157</v>
      </c>
      <c r="B232" t="s">
        <v>40</v>
      </c>
      <c r="C232">
        <v>3175</v>
      </c>
      <c r="D232">
        <v>34</v>
      </c>
      <c r="E232">
        <v>8</v>
      </c>
      <c r="F232">
        <v>111</v>
      </c>
      <c r="G232">
        <v>1.06E-2</v>
      </c>
      <c r="H232">
        <v>0.2298</v>
      </c>
      <c r="I232">
        <v>3.3</v>
      </c>
      <c r="J232" t="s">
        <v>41</v>
      </c>
      <c r="K232">
        <v>5185</v>
      </c>
      <c r="L232">
        <v>68</v>
      </c>
      <c r="M232">
        <v>5</v>
      </c>
      <c r="N232">
        <v>186</v>
      </c>
      <c r="O232">
        <v>1.2999999999999999E-2</v>
      </c>
      <c r="P232">
        <v>7.9600000000000004E-2</v>
      </c>
      <c r="Q232">
        <v>2.75</v>
      </c>
    </row>
    <row r="233" spans="1:17" x14ac:dyDescent="0.3">
      <c r="A233" s="1">
        <v>45158</v>
      </c>
      <c r="B233" t="s">
        <v>40</v>
      </c>
      <c r="C233">
        <v>3119</v>
      </c>
      <c r="D233">
        <v>59</v>
      </c>
      <c r="E233">
        <v>14</v>
      </c>
      <c r="F233">
        <v>69</v>
      </c>
      <c r="G233">
        <v>1.8800000000000001E-2</v>
      </c>
      <c r="H233">
        <v>0.2341</v>
      </c>
      <c r="I233">
        <v>1.18</v>
      </c>
      <c r="J233" t="s">
        <v>41</v>
      </c>
      <c r="K233">
        <v>5509</v>
      </c>
      <c r="L233">
        <v>61</v>
      </c>
      <c r="M233">
        <v>4</v>
      </c>
      <c r="N233">
        <v>116</v>
      </c>
      <c r="O233">
        <v>1.11E-2</v>
      </c>
      <c r="P233">
        <v>6.6400000000000001E-2</v>
      </c>
      <c r="Q233">
        <v>1.91</v>
      </c>
    </row>
    <row r="234" spans="1:17" x14ac:dyDescent="0.3">
      <c r="A234" s="1">
        <v>45159</v>
      </c>
      <c r="B234" t="s">
        <v>40</v>
      </c>
      <c r="C234">
        <v>1865</v>
      </c>
      <c r="D234">
        <v>41</v>
      </c>
      <c r="E234">
        <v>11</v>
      </c>
      <c r="F234">
        <v>54</v>
      </c>
      <c r="G234">
        <v>2.2100000000000002E-2</v>
      </c>
      <c r="H234">
        <v>0.27260000000000001</v>
      </c>
      <c r="I234">
        <v>1.3</v>
      </c>
      <c r="J234" t="s">
        <v>41</v>
      </c>
      <c r="K234">
        <v>5625</v>
      </c>
      <c r="L234">
        <v>32</v>
      </c>
      <c r="M234">
        <v>4</v>
      </c>
      <c r="N234">
        <v>182</v>
      </c>
      <c r="O234">
        <v>5.7000000000000002E-3</v>
      </c>
      <c r="P234">
        <v>0.11219999999999999</v>
      </c>
      <c r="Q234">
        <v>5.65</v>
      </c>
    </row>
    <row r="235" spans="1:17" x14ac:dyDescent="0.3">
      <c r="A235" s="1">
        <v>45160</v>
      </c>
      <c r="B235" t="s">
        <v>40</v>
      </c>
      <c r="C235">
        <v>1754</v>
      </c>
      <c r="D235">
        <v>40</v>
      </c>
      <c r="E235">
        <v>9</v>
      </c>
      <c r="F235">
        <v>85</v>
      </c>
      <c r="G235">
        <v>2.2599999999999999E-2</v>
      </c>
      <c r="H235">
        <v>0.22520000000000001</v>
      </c>
      <c r="I235">
        <v>2.14</v>
      </c>
      <c r="J235" t="s">
        <v>41</v>
      </c>
      <c r="K235">
        <v>4636</v>
      </c>
      <c r="L235">
        <v>47</v>
      </c>
      <c r="M235">
        <v>7</v>
      </c>
      <c r="N235">
        <v>84</v>
      </c>
      <c r="O235">
        <v>1.01E-2</v>
      </c>
      <c r="P235">
        <v>0.1565</v>
      </c>
      <c r="Q235">
        <v>1.8</v>
      </c>
    </row>
    <row r="236" spans="1:17" x14ac:dyDescent="0.3">
      <c r="A236" s="1">
        <v>45161</v>
      </c>
      <c r="B236" t="s">
        <v>40</v>
      </c>
      <c r="C236">
        <v>2584</v>
      </c>
      <c r="D236">
        <v>35</v>
      </c>
      <c r="E236">
        <v>11</v>
      </c>
      <c r="F236">
        <v>37</v>
      </c>
      <c r="G236">
        <v>1.37E-2</v>
      </c>
      <c r="H236">
        <v>0.313</v>
      </c>
      <c r="I236">
        <v>1.06</v>
      </c>
      <c r="J236" t="s">
        <v>41</v>
      </c>
      <c r="K236">
        <v>4380</v>
      </c>
      <c r="L236">
        <v>43</v>
      </c>
      <c r="M236">
        <v>6</v>
      </c>
      <c r="N236">
        <v>113</v>
      </c>
      <c r="O236">
        <v>9.7999999999999997E-3</v>
      </c>
      <c r="P236">
        <v>0.14349999999999999</v>
      </c>
      <c r="Q236">
        <v>2.64</v>
      </c>
    </row>
    <row r="237" spans="1:17" x14ac:dyDescent="0.3">
      <c r="A237" s="1">
        <v>45162</v>
      </c>
      <c r="B237" t="s">
        <v>40</v>
      </c>
      <c r="C237">
        <v>2656</v>
      </c>
      <c r="D237">
        <v>40</v>
      </c>
      <c r="E237">
        <v>12</v>
      </c>
      <c r="F237">
        <v>91</v>
      </c>
      <c r="G237">
        <v>1.5100000000000001E-2</v>
      </c>
      <c r="H237">
        <v>0.29980000000000001</v>
      </c>
      <c r="I237">
        <v>2.27</v>
      </c>
      <c r="J237" t="s">
        <v>41</v>
      </c>
      <c r="K237">
        <v>4973</v>
      </c>
      <c r="L237">
        <v>42</v>
      </c>
      <c r="M237">
        <v>7</v>
      </c>
      <c r="N237">
        <v>184</v>
      </c>
      <c r="O237">
        <v>8.3999999999999995E-3</v>
      </c>
      <c r="P237">
        <v>0.16950000000000001</v>
      </c>
      <c r="Q237">
        <v>4.3899999999999997</v>
      </c>
    </row>
    <row r="238" spans="1:17" x14ac:dyDescent="0.3">
      <c r="A238" s="1">
        <v>45163</v>
      </c>
      <c r="B238" t="s">
        <v>40</v>
      </c>
      <c r="C238">
        <v>2428</v>
      </c>
      <c r="D238">
        <v>29</v>
      </c>
      <c r="E238">
        <v>10</v>
      </c>
      <c r="F238">
        <v>106</v>
      </c>
      <c r="G238">
        <v>1.1900000000000001E-2</v>
      </c>
      <c r="H238">
        <v>0.33839999999999998</v>
      </c>
      <c r="I238">
        <v>3.67</v>
      </c>
      <c r="J238" t="s">
        <v>41</v>
      </c>
      <c r="K238">
        <v>4962</v>
      </c>
      <c r="L238">
        <v>63</v>
      </c>
      <c r="M238">
        <v>7</v>
      </c>
      <c r="N238">
        <v>150</v>
      </c>
      <c r="O238">
        <v>1.2699999999999999E-2</v>
      </c>
      <c r="P238">
        <v>0.1135</v>
      </c>
      <c r="Q238">
        <v>2.38</v>
      </c>
    </row>
    <row r="239" spans="1:17" x14ac:dyDescent="0.3">
      <c r="A239" s="1">
        <v>45164</v>
      </c>
      <c r="B239" t="s">
        <v>40</v>
      </c>
      <c r="C239">
        <v>1062</v>
      </c>
      <c r="D239">
        <v>28</v>
      </c>
      <c r="E239">
        <v>9</v>
      </c>
      <c r="F239">
        <v>83</v>
      </c>
      <c r="G239">
        <v>2.6599999999999999E-2</v>
      </c>
      <c r="H239">
        <v>0.30640000000000001</v>
      </c>
      <c r="I239">
        <v>2.93</v>
      </c>
      <c r="J239" t="s">
        <v>41</v>
      </c>
      <c r="K239">
        <v>5286</v>
      </c>
      <c r="L239">
        <v>71</v>
      </c>
      <c r="M239">
        <v>7</v>
      </c>
      <c r="N239">
        <v>186</v>
      </c>
      <c r="O239">
        <v>1.3299999999999999E-2</v>
      </c>
      <c r="P239">
        <v>9.2499999999999999E-2</v>
      </c>
      <c r="Q239">
        <v>2.63</v>
      </c>
    </row>
    <row r="240" spans="1:17" x14ac:dyDescent="0.3">
      <c r="A240" s="1">
        <v>45165</v>
      </c>
      <c r="B240" t="s">
        <v>40</v>
      </c>
      <c r="C240">
        <v>3014</v>
      </c>
      <c r="D240">
        <v>51</v>
      </c>
      <c r="E240">
        <v>15</v>
      </c>
      <c r="F240">
        <v>52</v>
      </c>
      <c r="G240">
        <v>1.6899999999999998E-2</v>
      </c>
      <c r="H240">
        <v>0.29820000000000002</v>
      </c>
      <c r="I240">
        <v>1.02</v>
      </c>
      <c r="J240" t="s">
        <v>41</v>
      </c>
      <c r="K240">
        <v>4979</v>
      </c>
      <c r="L240">
        <v>69</v>
      </c>
      <c r="M240">
        <v>7</v>
      </c>
      <c r="N240">
        <v>136</v>
      </c>
      <c r="O240">
        <v>1.38E-2</v>
      </c>
      <c r="P240">
        <v>0.1084</v>
      </c>
      <c r="Q240">
        <v>1.98</v>
      </c>
    </row>
    <row r="241" spans="1:17" x14ac:dyDescent="0.3">
      <c r="A241" s="1">
        <v>45166</v>
      </c>
      <c r="B241" t="s">
        <v>40</v>
      </c>
      <c r="C241">
        <v>1450</v>
      </c>
      <c r="D241">
        <v>41</v>
      </c>
      <c r="E241">
        <v>10</v>
      </c>
      <c r="F241">
        <v>107</v>
      </c>
      <c r="G241">
        <v>2.8400000000000002E-2</v>
      </c>
      <c r="H241">
        <v>0.2485</v>
      </c>
      <c r="I241">
        <v>2.6</v>
      </c>
      <c r="J241" t="s">
        <v>41</v>
      </c>
      <c r="K241">
        <v>4919</v>
      </c>
      <c r="L241">
        <v>57</v>
      </c>
      <c r="M241">
        <v>8</v>
      </c>
      <c r="N241">
        <v>83</v>
      </c>
      <c r="O241">
        <v>1.1599999999999999E-2</v>
      </c>
      <c r="P241">
        <v>0.13800000000000001</v>
      </c>
      <c r="Q241">
        <v>1.47</v>
      </c>
    </row>
    <row r="242" spans="1:17" x14ac:dyDescent="0.3">
      <c r="A242" s="1">
        <v>45167</v>
      </c>
      <c r="B242" t="s">
        <v>40</v>
      </c>
      <c r="C242">
        <v>2301</v>
      </c>
      <c r="D242">
        <v>32</v>
      </c>
      <c r="E242">
        <v>8</v>
      </c>
      <c r="F242">
        <v>74</v>
      </c>
      <c r="G242">
        <v>1.3899999999999999E-2</v>
      </c>
      <c r="H242">
        <v>0.26269999999999999</v>
      </c>
      <c r="I242">
        <v>2.3199999999999998</v>
      </c>
      <c r="J242" t="s">
        <v>41</v>
      </c>
      <c r="K242">
        <v>5183</v>
      </c>
      <c r="L242">
        <v>58</v>
      </c>
      <c r="M242">
        <v>6</v>
      </c>
      <c r="N242">
        <v>186</v>
      </c>
      <c r="O242">
        <v>1.12E-2</v>
      </c>
      <c r="P242">
        <v>0.10150000000000001</v>
      </c>
      <c r="Q242">
        <v>3.2</v>
      </c>
    </row>
    <row r="243" spans="1:17" x14ac:dyDescent="0.3">
      <c r="A243" s="1">
        <v>45168</v>
      </c>
      <c r="B243" t="s">
        <v>40</v>
      </c>
      <c r="C243">
        <v>2739</v>
      </c>
      <c r="D243">
        <v>39</v>
      </c>
      <c r="E243">
        <v>11</v>
      </c>
      <c r="F243">
        <v>50</v>
      </c>
      <c r="G243">
        <v>1.41E-2</v>
      </c>
      <c r="H243">
        <v>0.27789999999999998</v>
      </c>
      <c r="I243">
        <v>1.3</v>
      </c>
      <c r="J243" t="s">
        <v>41</v>
      </c>
      <c r="K243">
        <v>4772</v>
      </c>
      <c r="L243">
        <v>39</v>
      </c>
      <c r="M243">
        <v>3</v>
      </c>
      <c r="N243">
        <v>132</v>
      </c>
      <c r="O243">
        <v>8.0999999999999996E-3</v>
      </c>
      <c r="P243">
        <v>7.5800000000000006E-2</v>
      </c>
      <c r="Q243">
        <v>3.39</v>
      </c>
    </row>
    <row r="244" spans="1:17" x14ac:dyDescent="0.3">
      <c r="A244" s="1">
        <v>45169</v>
      </c>
      <c r="B244" t="s">
        <v>40</v>
      </c>
      <c r="C244">
        <v>3186</v>
      </c>
      <c r="D244">
        <v>63</v>
      </c>
      <c r="E244">
        <v>15</v>
      </c>
      <c r="F244">
        <v>98</v>
      </c>
      <c r="G244">
        <v>1.9800000000000002E-2</v>
      </c>
      <c r="H244">
        <v>0.2316</v>
      </c>
      <c r="I244">
        <v>1.54</v>
      </c>
      <c r="J244" t="s">
        <v>41</v>
      </c>
      <c r="K244">
        <v>5565</v>
      </c>
      <c r="L244">
        <v>81</v>
      </c>
      <c r="M244">
        <v>6</v>
      </c>
      <c r="N244">
        <v>174</v>
      </c>
      <c r="O244">
        <v>1.46E-2</v>
      </c>
      <c r="P244">
        <v>7.4700000000000003E-2</v>
      </c>
      <c r="Q244">
        <v>2.15</v>
      </c>
    </row>
    <row r="245" spans="1:17" x14ac:dyDescent="0.3">
      <c r="A245" s="1">
        <v>45170</v>
      </c>
      <c r="B245" t="s">
        <v>42</v>
      </c>
      <c r="C245">
        <v>1764</v>
      </c>
      <c r="D245">
        <v>42</v>
      </c>
      <c r="E245">
        <v>10</v>
      </c>
      <c r="F245">
        <v>107</v>
      </c>
      <c r="G245">
        <v>2.3599999999999999E-2</v>
      </c>
      <c r="H245">
        <v>0.248</v>
      </c>
      <c r="I245">
        <v>2.58</v>
      </c>
      <c r="J245" t="s">
        <v>43</v>
      </c>
      <c r="K245">
        <v>4179</v>
      </c>
      <c r="L245">
        <v>80</v>
      </c>
      <c r="M245">
        <v>9</v>
      </c>
      <c r="N245">
        <v>92</v>
      </c>
      <c r="O245">
        <v>1.9099999999999999E-2</v>
      </c>
      <c r="P245">
        <v>0.1125</v>
      </c>
      <c r="Q245">
        <v>1.1499999999999999</v>
      </c>
    </row>
    <row r="246" spans="1:17" x14ac:dyDescent="0.3">
      <c r="A246" s="1">
        <v>45171</v>
      </c>
      <c r="B246" t="s">
        <v>42</v>
      </c>
      <c r="C246">
        <v>3175</v>
      </c>
      <c r="D246">
        <v>51</v>
      </c>
      <c r="E246">
        <v>13</v>
      </c>
      <c r="F246">
        <v>93</v>
      </c>
      <c r="G246">
        <v>1.6E-2</v>
      </c>
      <c r="H246">
        <v>0.25890000000000002</v>
      </c>
      <c r="I246">
        <v>1.83</v>
      </c>
      <c r="J246" t="s">
        <v>43</v>
      </c>
      <c r="K246">
        <v>4322</v>
      </c>
      <c r="L246">
        <v>48</v>
      </c>
      <c r="M246">
        <v>7</v>
      </c>
      <c r="N246">
        <v>164</v>
      </c>
      <c r="O246">
        <v>1.12E-2</v>
      </c>
      <c r="P246">
        <v>0.15329999999999999</v>
      </c>
      <c r="Q246">
        <v>3.39</v>
      </c>
    </row>
    <row r="247" spans="1:17" x14ac:dyDescent="0.3">
      <c r="A247" s="1">
        <v>45172</v>
      </c>
      <c r="B247" t="s">
        <v>42</v>
      </c>
      <c r="C247">
        <v>2836</v>
      </c>
      <c r="D247">
        <v>29</v>
      </c>
      <c r="E247">
        <v>7</v>
      </c>
      <c r="F247">
        <v>131</v>
      </c>
      <c r="G247">
        <v>1.0200000000000001E-2</v>
      </c>
      <c r="H247">
        <v>0.23469999999999999</v>
      </c>
      <c r="I247">
        <v>4.55</v>
      </c>
      <c r="J247" t="s">
        <v>43</v>
      </c>
      <c r="K247">
        <v>3820</v>
      </c>
      <c r="L247">
        <v>74</v>
      </c>
      <c r="M247">
        <v>8</v>
      </c>
      <c r="N247">
        <v>87</v>
      </c>
      <c r="O247">
        <v>1.9400000000000001E-2</v>
      </c>
      <c r="P247">
        <v>0.10390000000000001</v>
      </c>
      <c r="Q247">
        <v>1.17</v>
      </c>
    </row>
    <row r="248" spans="1:17" x14ac:dyDescent="0.3">
      <c r="A248" s="1">
        <v>45173</v>
      </c>
      <c r="B248" t="s">
        <v>42</v>
      </c>
      <c r="C248">
        <v>1227</v>
      </c>
      <c r="D248">
        <v>63</v>
      </c>
      <c r="E248">
        <v>18</v>
      </c>
      <c r="F248">
        <v>136</v>
      </c>
      <c r="G248">
        <v>5.1200000000000002E-2</v>
      </c>
      <c r="H248">
        <v>0.27960000000000002</v>
      </c>
      <c r="I248">
        <v>2.16</v>
      </c>
      <c r="J248" t="s">
        <v>43</v>
      </c>
      <c r="K248">
        <v>4276</v>
      </c>
      <c r="L248">
        <v>53</v>
      </c>
      <c r="M248">
        <v>7</v>
      </c>
      <c r="N248">
        <v>144</v>
      </c>
      <c r="O248">
        <v>1.24E-2</v>
      </c>
      <c r="P248">
        <v>0.12529999999999999</v>
      </c>
      <c r="Q248">
        <v>2.71</v>
      </c>
    </row>
    <row r="249" spans="1:17" x14ac:dyDescent="0.3">
      <c r="A249" s="1">
        <v>45174</v>
      </c>
      <c r="B249" t="s">
        <v>42</v>
      </c>
      <c r="C249">
        <v>2160</v>
      </c>
      <c r="D249">
        <v>33</v>
      </c>
      <c r="E249">
        <v>11</v>
      </c>
      <c r="F249">
        <v>79</v>
      </c>
      <c r="G249">
        <v>1.5100000000000001E-2</v>
      </c>
      <c r="H249">
        <v>0.32269999999999999</v>
      </c>
      <c r="I249">
        <v>2.42</v>
      </c>
      <c r="J249" t="s">
        <v>43</v>
      </c>
      <c r="K249">
        <v>4407</v>
      </c>
      <c r="L249">
        <v>52</v>
      </c>
      <c r="M249">
        <v>5</v>
      </c>
      <c r="N249">
        <v>151</v>
      </c>
      <c r="O249">
        <v>1.17E-2</v>
      </c>
      <c r="P249">
        <v>8.8800000000000004E-2</v>
      </c>
      <c r="Q249">
        <v>2.93</v>
      </c>
    </row>
    <row r="250" spans="1:17" x14ac:dyDescent="0.3">
      <c r="A250" s="1">
        <v>45175</v>
      </c>
      <c r="B250" t="s">
        <v>42</v>
      </c>
      <c r="C250">
        <v>2241</v>
      </c>
      <c r="D250">
        <v>56</v>
      </c>
      <c r="E250">
        <v>15</v>
      </c>
      <c r="F250">
        <v>43</v>
      </c>
      <c r="G250">
        <v>2.5100000000000001E-2</v>
      </c>
      <c r="H250">
        <v>0.27100000000000002</v>
      </c>
      <c r="I250">
        <v>0.76</v>
      </c>
      <c r="J250" t="s">
        <v>43</v>
      </c>
      <c r="K250">
        <v>4311</v>
      </c>
      <c r="L250">
        <v>82</v>
      </c>
      <c r="M250">
        <v>7</v>
      </c>
      <c r="N250">
        <v>175</v>
      </c>
      <c r="O250">
        <v>1.9E-2</v>
      </c>
      <c r="P250">
        <v>8.6599999999999996E-2</v>
      </c>
      <c r="Q250">
        <v>2.14</v>
      </c>
    </row>
    <row r="251" spans="1:17" x14ac:dyDescent="0.3">
      <c r="A251" s="1">
        <v>45176</v>
      </c>
      <c r="B251" t="s">
        <v>42</v>
      </c>
      <c r="C251">
        <v>2122</v>
      </c>
      <c r="D251">
        <v>54</v>
      </c>
      <c r="E251">
        <v>16</v>
      </c>
      <c r="F251">
        <v>59</v>
      </c>
      <c r="G251">
        <v>2.5499999999999998E-2</v>
      </c>
      <c r="H251">
        <v>0.2923</v>
      </c>
      <c r="I251">
        <v>1.0900000000000001</v>
      </c>
      <c r="J251" t="s">
        <v>43</v>
      </c>
      <c r="K251">
        <v>5480</v>
      </c>
      <c r="L251">
        <v>57</v>
      </c>
      <c r="M251">
        <v>4</v>
      </c>
      <c r="N251">
        <v>89</v>
      </c>
      <c r="O251">
        <v>1.04E-2</v>
      </c>
      <c r="P251">
        <v>6.7500000000000004E-2</v>
      </c>
      <c r="Q251">
        <v>1.55</v>
      </c>
    </row>
    <row r="252" spans="1:17" x14ac:dyDescent="0.3">
      <c r="A252" s="1">
        <v>45177</v>
      </c>
      <c r="B252" t="s">
        <v>42</v>
      </c>
      <c r="C252">
        <v>2589</v>
      </c>
      <c r="D252">
        <v>37</v>
      </c>
      <c r="E252">
        <v>11</v>
      </c>
      <c r="F252">
        <v>48</v>
      </c>
      <c r="G252">
        <v>1.4200000000000001E-2</v>
      </c>
      <c r="H252">
        <v>0.30869999999999997</v>
      </c>
      <c r="I252">
        <v>1.3</v>
      </c>
      <c r="J252" t="s">
        <v>43</v>
      </c>
      <c r="K252">
        <v>5678</v>
      </c>
      <c r="L252">
        <v>48</v>
      </c>
      <c r="M252">
        <v>3</v>
      </c>
      <c r="N252">
        <v>148</v>
      </c>
      <c r="O252">
        <v>8.3999999999999995E-3</v>
      </c>
      <c r="P252">
        <v>7.0999999999999994E-2</v>
      </c>
      <c r="Q252">
        <v>3.1</v>
      </c>
    </row>
    <row r="253" spans="1:17" x14ac:dyDescent="0.3">
      <c r="A253" s="1">
        <v>45178</v>
      </c>
      <c r="B253" t="s">
        <v>42</v>
      </c>
      <c r="C253">
        <v>3038</v>
      </c>
      <c r="D253">
        <v>60</v>
      </c>
      <c r="E253">
        <v>13</v>
      </c>
      <c r="F253">
        <v>64</v>
      </c>
      <c r="G253">
        <v>1.9800000000000002E-2</v>
      </c>
      <c r="H253">
        <v>0.21659999999999999</v>
      </c>
      <c r="I253">
        <v>1.07</v>
      </c>
      <c r="J253" t="s">
        <v>43</v>
      </c>
      <c r="K253">
        <v>4637</v>
      </c>
      <c r="L253">
        <v>80</v>
      </c>
      <c r="M253">
        <v>9</v>
      </c>
      <c r="N253">
        <v>125</v>
      </c>
      <c r="O253">
        <v>1.72E-2</v>
      </c>
      <c r="P253">
        <v>0.11269999999999999</v>
      </c>
      <c r="Q253">
        <v>1.57</v>
      </c>
    </row>
    <row r="254" spans="1:17" x14ac:dyDescent="0.3">
      <c r="A254" s="1">
        <v>45179</v>
      </c>
      <c r="B254" t="s">
        <v>42</v>
      </c>
      <c r="C254">
        <v>3091</v>
      </c>
      <c r="D254">
        <v>56</v>
      </c>
      <c r="E254">
        <v>15</v>
      </c>
      <c r="F254">
        <v>43</v>
      </c>
      <c r="G254">
        <v>1.8200000000000001E-2</v>
      </c>
      <c r="H254">
        <v>0.27129999999999999</v>
      </c>
      <c r="I254">
        <v>0.76</v>
      </c>
      <c r="J254" t="s">
        <v>43</v>
      </c>
      <c r="K254">
        <v>5245</v>
      </c>
      <c r="L254">
        <v>45</v>
      </c>
      <c r="M254">
        <v>7</v>
      </c>
      <c r="N254">
        <v>140</v>
      </c>
      <c r="O254">
        <v>8.5000000000000006E-3</v>
      </c>
      <c r="P254">
        <v>0.16189999999999999</v>
      </c>
      <c r="Q254">
        <v>3.14</v>
      </c>
    </row>
    <row r="255" spans="1:17" x14ac:dyDescent="0.3">
      <c r="A255" s="1">
        <v>45180</v>
      </c>
      <c r="B255" t="s">
        <v>42</v>
      </c>
      <c r="C255">
        <v>1970</v>
      </c>
      <c r="D255">
        <v>65</v>
      </c>
      <c r="E255">
        <v>18</v>
      </c>
      <c r="F255">
        <v>120</v>
      </c>
      <c r="G255">
        <v>3.27E-2</v>
      </c>
      <c r="H255">
        <v>0.27750000000000002</v>
      </c>
      <c r="I255">
        <v>1.86</v>
      </c>
      <c r="J255" t="s">
        <v>43</v>
      </c>
      <c r="K255">
        <v>4046</v>
      </c>
      <c r="L255">
        <v>56</v>
      </c>
      <c r="M255">
        <v>8</v>
      </c>
      <c r="N255">
        <v>153</v>
      </c>
      <c r="O255">
        <v>1.37E-2</v>
      </c>
      <c r="P255">
        <v>0.1401</v>
      </c>
      <c r="Q255">
        <v>2.76</v>
      </c>
    </row>
    <row r="256" spans="1:17" x14ac:dyDescent="0.3">
      <c r="A256" s="1">
        <v>45181</v>
      </c>
      <c r="B256" t="s">
        <v>42</v>
      </c>
      <c r="C256">
        <v>2874</v>
      </c>
      <c r="D256">
        <v>33</v>
      </c>
      <c r="E256">
        <v>9</v>
      </c>
      <c r="F256">
        <v>60</v>
      </c>
      <c r="G256">
        <v>1.14E-2</v>
      </c>
      <c r="H256">
        <v>0.26119999999999999</v>
      </c>
      <c r="I256">
        <v>1.82</v>
      </c>
      <c r="J256" t="s">
        <v>43</v>
      </c>
      <c r="K256">
        <v>3804</v>
      </c>
      <c r="L256">
        <v>44</v>
      </c>
      <c r="M256">
        <v>6</v>
      </c>
      <c r="N256">
        <v>112</v>
      </c>
      <c r="O256">
        <v>1.1599999999999999E-2</v>
      </c>
      <c r="P256">
        <v>0.14069999999999999</v>
      </c>
      <c r="Q256">
        <v>2.5499999999999998</v>
      </c>
    </row>
    <row r="257" spans="1:17" x14ac:dyDescent="0.3">
      <c r="A257" s="1">
        <v>45182</v>
      </c>
      <c r="B257" t="s">
        <v>42</v>
      </c>
      <c r="C257">
        <v>1478</v>
      </c>
      <c r="D257">
        <v>40</v>
      </c>
      <c r="E257">
        <v>9</v>
      </c>
      <c r="F257">
        <v>130</v>
      </c>
      <c r="G257">
        <v>2.7199999999999998E-2</v>
      </c>
      <c r="H257">
        <v>0.22489999999999999</v>
      </c>
      <c r="I257">
        <v>3.23</v>
      </c>
      <c r="J257" t="s">
        <v>43</v>
      </c>
      <c r="K257">
        <v>4080</v>
      </c>
      <c r="L257">
        <v>70</v>
      </c>
      <c r="M257">
        <v>4</v>
      </c>
      <c r="N257">
        <v>124</v>
      </c>
      <c r="O257">
        <v>1.7000000000000001E-2</v>
      </c>
      <c r="P257">
        <v>6.4399999999999999E-2</v>
      </c>
      <c r="Q257">
        <v>1.78</v>
      </c>
    </row>
    <row r="258" spans="1:17" x14ac:dyDescent="0.3">
      <c r="A258" s="1">
        <v>45183</v>
      </c>
      <c r="B258" t="s">
        <v>42</v>
      </c>
      <c r="C258">
        <v>1534</v>
      </c>
      <c r="D258">
        <v>44</v>
      </c>
      <c r="E258">
        <v>12</v>
      </c>
      <c r="F258">
        <v>72</v>
      </c>
      <c r="G258">
        <v>2.8899999999999999E-2</v>
      </c>
      <c r="H258">
        <v>0.26769999999999999</v>
      </c>
      <c r="I258">
        <v>1.63</v>
      </c>
      <c r="J258" t="s">
        <v>43</v>
      </c>
      <c r="K258">
        <v>4955</v>
      </c>
      <c r="L258">
        <v>64</v>
      </c>
      <c r="M258">
        <v>5</v>
      </c>
      <c r="N258">
        <v>178</v>
      </c>
      <c r="O258">
        <v>1.29E-2</v>
      </c>
      <c r="P258">
        <v>8.1299999999999997E-2</v>
      </c>
      <c r="Q258">
        <v>2.78</v>
      </c>
    </row>
    <row r="259" spans="1:17" x14ac:dyDescent="0.3">
      <c r="A259" s="1">
        <v>45184</v>
      </c>
      <c r="B259" t="s">
        <v>42</v>
      </c>
      <c r="C259">
        <v>2764</v>
      </c>
      <c r="D259">
        <v>30</v>
      </c>
      <c r="E259">
        <v>10</v>
      </c>
      <c r="F259">
        <v>128</v>
      </c>
      <c r="G259">
        <v>1.0999999999999999E-2</v>
      </c>
      <c r="H259">
        <v>0.33200000000000002</v>
      </c>
      <c r="I259">
        <v>4.2300000000000004</v>
      </c>
      <c r="J259" t="s">
        <v>43</v>
      </c>
      <c r="K259">
        <v>5355</v>
      </c>
      <c r="L259">
        <v>65</v>
      </c>
      <c r="M259">
        <v>4</v>
      </c>
      <c r="N259">
        <v>78</v>
      </c>
      <c r="O259">
        <v>1.21E-2</v>
      </c>
      <c r="P259">
        <v>6.54E-2</v>
      </c>
      <c r="Q259">
        <v>1.2</v>
      </c>
    </row>
    <row r="260" spans="1:17" x14ac:dyDescent="0.3">
      <c r="A260" s="1">
        <v>45185</v>
      </c>
      <c r="B260" t="s">
        <v>42</v>
      </c>
      <c r="C260">
        <v>1667</v>
      </c>
      <c r="D260">
        <v>43</v>
      </c>
      <c r="E260">
        <v>13</v>
      </c>
      <c r="F260">
        <v>107</v>
      </c>
      <c r="G260">
        <v>2.5899999999999999E-2</v>
      </c>
      <c r="H260">
        <v>0.2928</v>
      </c>
      <c r="I260">
        <v>2.4700000000000002</v>
      </c>
      <c r="J260" t="s">
        <v>43</v>
      </c>
      <c r="K260">
        <v>4012</v>
      </c>
      <c r="L260">
        <v>61</v>
      </c>
      <c r="M260">
        <v>8</v>
      </c>
      <c r="N260">
        <v>136</v>
      </c>
      <c r="O260">
        <v>1.5299999999999999E-2</v>
      </c>
      <c r="P260">
        <v>0.13170000000000001</v>
      </c>
      <c r="Q260">
        <v>2.21</v>
      </c>
    </row>
    <row r="261" spans="1:17" x14ac:dyDescent="0.3">
      <c r="A261" s="1">
        <v>45186</v>
      </c>
      <c r="B261" t="s">
        <v>42</v>
      </c>
      <c r="C261">
        <v>2563</v>
      </c>
      <c r="D261">
        <v>56</v>
      </c>
      <c r="E261">
        <v>14</v>
      </c>
      <c r="F261">
        <v>66</v>
      </c>
      <c r="G261">
        <v>2.1700000000000001E-2</v>
      </c>
      <c r="H261">
        <v>0.25390000000000001</v>
      </c>
      <c r="I261">
        <v>1.18</v>
      </c>
      <c r="J261" t="s">
        <v>43</v>
      </c>
      <c r="K261">
        <v>5225</v>
      </c>
      <c r="L261">
        <v>84</v>
      </c>
      <c r="M261">
        <v>5</v>
      </c>
      <c r="N261">
        <v>192</v>
      </c>
      <c r="O261">
        <v>1.6E-2</v>
      </c>
      <c r="P261">
        <v>6.1899999999999997E-2</v>
      </c>
      <c r="Q261">
        <v>2.29</v>
      </c>
    </row>
    <row r="262" spans="1:17" x14ac:dyDescent="0.3">
      <c r="A262" s="1">
        <v>45187</v>
      </c>
      <c r="B262" t="s">
        <v>42</v>
      </c>
      <c r="C262">
        <v>2158</v>
      </c>
      <c r="D262">
        <v>53</v>
      </c>
      <c r="E262">
        <v>15</v>
      </c>
      <c r="F262">
        <v>116</v>
      </c>
      <c r="G262">
        <v>2.4400000000000002E-2</v>
      </c>
      <c r="H262">
        <v>0.27600000000000002</v>
      </c>
      <c r="I262">
        <v>2.21</v>
      </c>
      <c r="J262" t="s">
        <v>43</v>
      </c>
      <c r="K262">
        <v>4810</v>
      </c>
      <c r="L262">
        <v>78</v>
      </c>
      <c r="M262">
        <v>7</v>
      </c>
      <c r="N262">
        <v>142</v>
      </c>
      <c r="O262">
        <v>1.6299999999999999E-2</v>
      </c>
      <c r="P262">
        <v>8.8300000000000003E-2</v>
      </c>
      <c r="Q262">
        <v>1.81</v>
      </c>
    </row>
    <row r="263" spans="1:17" x14ac:dyDescent="0.3">
      <c r="A263" s="1">
        <v>45188</v>
      </c>
      <c r="B263" t="s">
        <v>42</v>
      </c>
      <c r="C263">
        <v>2958</v>
      </c>
      <c r="D263">
        <v>57</v>
      </c>
      <c r="E263">
        <v>14</v>
      </c>
      <c r="F263">
        <v>86</v>
      </c>
      <c r="G263">
        <v>1.9400000000000001E-2</v>
      </c>
      <c r="H263">
        <v>0.25240000000000001</v>
      </c>
      <c r="I263">
        <v>1.49</v>
      </c>
      <c r="J263" t="s">
        <v>43</v>
      </c>
      <c r="K263">
        <v>4777</v>
      </c>
      <c r="L263">
        <v>78</v>
      </c>
      <c r="M263">
        <v>6</v>
      </c>
      <c r="N263">
        <v>123</v>
      </c>
      <c r="O263">
        <v>1.6400000000000001E-2</v>
      </c>
      <c r="P263">
        <v>7.5600000000000001E-2</v>
      </c>
      <c r="Q263">
        <v>1.58</v>
      </c>
    </row>
    <row r="264" spans="1:17" x14ac:dyDescent="0.3">
      <c r="A264" s="1">
        <v>45189</v>
      </c>
      <c r="B264" t="s">
        <v>42</v>
      </c>
      <c r="C264">
        <v>2322</v>
      </c>
      <c r="D264">
        <v>57</v>
      </c>
      <c r="E264">
        <v>14</v>
      </c>
      <c r="F264">
        <v>48</v>
      </c>
      <c r="G264">
        <v>2.4400000000000002E-2</v>
      </c>
      <c r="H264">
        <v>0.25290000000000001</v>
      </c>
      <c r="I264">
        <v>0.85</v>
      </c>
      <c r="J264" t="s">
        <v>43</v>
      </c>
      <c r="K264">
        <v>4938</v>
      </c>
      <c r="L264">
        <v>44</v>
      </c>
      <c r="M264">
        <v>5</v>
      </c>
      <c r="N264">
        <v>109</v>
      </c>
      <c r="O264">
        <v>8.8999999999999999E-3</v>
      </c>
      <c r="P264">
        <v>0.1183</v>
      </c>
      <c r="Q264">
        <v>2.48</v>
      </c>
    </row>
    <row r="265" spans="1:17" x14ac:dyDescent="0.3">
      <c r="A265" s="1">
        <v>45190</v>
      </c>
      <c r="B265" t="s">
        <v>42</v>
      </c>
      <c r="C265">
        <v>1188</v>
      </c>
      <c r="D265">
        <v>38</v>
      </c>
      <c r="E265">
        <v>9</v>
      </c>
      <c r="F265">
        <v>127</v>
      </c>
      <c r="G265">
        <v>3.1699999999999999E-2</v>
      </c>
      <c r="H265">
        <v>0.22650000000000001</v>
      </c>
      <c r="I265">
        <v>3.36</v>
      </c>
      <c r="J265" t="s">
        <v>43</v>
      </c>
      <c r="K265">
        <v>5430</v>
      </c>
      <c r="L265">
        <v>51</v>
      </c>
      <c r="M265">
        <v>7</v>
      </c>
      <c r="N265">
        <v>137</v>
      </c>
      <c r="O265">
        <v>9.2999999999999992E-3</v>
      </c>
      <c r="P265">
        <v>0.12889999999999999</v>
      </c>
      <c r="Q265">
        <v>2.7</v>
      </c>
    </row>
    <row r="266" spans="1:17" x14ac:dyDescent="0.3">
      <c r="A266" s="1">
        <v>45191</v>
      </c>
      <c r="B266" t="s">
        <v>42</v>
      </c>
      <c r="C266">
        <v>2971</v>
      </c>
      <c r="D266">
        <v>36</v>
      </c>
      <c r="E266">
        <v>8</v>
      </c>
      <c r="F266">
        <v>118</v>
      </c>
      <c r="G266">
        <v>1.23E-2</v>
      </c>
      <c r="H266">
        <v>0.22750000000000001</v>
      </c>
      <c r="I266">
        <v>3.23</v>
      </c>
      <c r="J266" t="s">
        <v>43</v>
      </c>
      <c r="K266">
        <v>5534</v>
      </c>
      <c r="L266">
        <v>60</v>
      </c>
      <c r="M266">
        <v>8</v>
      </c>
      <c r="N266">
        <v>144</v>
      </c>
      <c r="O266">
        <v>1.09E-2</v>
      </c>
      <c r="P266">
        <v>0.1331</v>
      </c>
      <c r="Q266">
        <v>2.39</v>
      </c>
    </row>
    <row r="267" spans="1:17" x14ac:dyDescent="0.3">
      <c r="A267" s="1">
        <v>45192</v>
      </c>
      <c r="B267" t="s">
        <v>42</v>
      </c>
      <c r="C267">
        <v>2024</v>
      </c>
      <c r="D267">
        <v>34</v>
      </c>
      <c r="E267">
        <v>8</v>
      </c>
      <c r="F267">
        <v>113</v>
      </c>
      <c r="G267">
        <v>1.67E-2</v>
      </c>
      <c r="H267">
        <v>0.2296</v>
      </c>
      <c r="I267">
        <v>3.36</v>
      </c>
      <c r="J267" t="s">
        <v>43</v>
      </c>
      <c r="K267">
        <v>4264</v>
      </c>
      <c r="L267">
        <v>78</v>
      </c>
      <c r="M267">
        <v>6</v>
      </c>
      <c r="N267">
        <v>191</v>
      </c>
      <c r="O267">
        <v>1.83E-2</v>
      </c>
      <c r="P267">
        <v>7.5600000000000001E-2</v>
      </c>
      <c r="Q267">
        <v>2.4500000000000002</v>
      </c>
    </row>
    <row r="268" spans="1:17" x14ac:dyDescent="0.3">
      <c r="A268" s="1">
        <v>45193</v>
      </c>
      <c r="B268" t="s">
        <v>42</v>
      </c>
      <c r="C268">
        <v>1813</v>
      </c>
      <c r="D268">
        <v>36</v>
      </c>
      <c r="E268">
        <v>12</v>
      </c>
      <c r="F268">
        <v>104</v>
      </c>
      <c r="G268">
        <v>1.9599999999999999E-2</v>
      </c>
      <c r="H268">
        <v>0.34039999999999998</v>
      </c>
      <c r="I268">
        <v>2.92</v>
      </c>
      <c r="J268" t="s">
        <v>43</v>
      </c>
      <c r="K268">
        <v>4363</v>
      </c>
      <c r="L268">
        <v>75</v>
      </c>
      <c r="M268">
        <v>9</v>
      </c>
      <c r="N268">
        <v>182</v>
      </c>
      <c r="O268">
        <v>1.7299999999999999E-2</v>
      </c>
      <c r="P268">
        <v>0.1163</v>
      </c>
      <c r="Q268">
        <v>2.41</v>
      </c>
    </row>
    <row r="269" spans="1:17" x14ac:dyDescent="0.3">
      <c r="A269" s="1">
        <v>45194</v>
      </c>
      <c r="B269" t="s">
        <v>42</v>
      </c>
      <c r="C269">
        <v>3081</v>
      </c>
      <c r="D269">
        <v>47</v>
      </c>
      <c r="E269">
        <v>12</v>
      </c>
      <c r="F269">
        <v>130</v>
      </c>
      <c r="G269">
        <v>1.5100000000000001E-2</v>
      </c>
      <c r="H269">
        <v>0.26450000000000001</v>
      </c>
      <c r="I269">
        <v>2.79</v>
      </c>
      <c r="J269" t="s">
        <v>43</v>
      </c>
      <c r="K269">
        <v>4354</v>
      </c>
      <c r="L269">
        <v>58</v>
      </c>
      <c r="M269">
        <v>5</v>
      </c>
      <c r="N269">
        <v>168</v>
      </c>
      <c r="O269">
        <v>1.34E-2</v>
      </c>
      <c r="P269">
        <v>8.43E-2</v>
      </c>
      <c r="Q269">
        <v>2.88</v>
      </c>
    </row>
    <row r="270" spans="1:17" x14ac:dyDescent="0.3">
      <c r="A270" s="1">
        <v>45195</v>
      </c>
      <c r="B270" t="s">
        <v>42</v>
      </c>
      <c r="C270">
        <v>2719</v>
      </c>
      <c r="D270">
        <v>57</v>
      </c>
      <c r="E270">
        <v>16</v>
      </c>
      <c r="F270">
        <v>56</v>
      </c>
      <c r="G270">
        <v>2.0799999999999999E-2</v>
      </c>
      <c r="H270">
        <v>0.2883</v>
      </c>
      <c r="I270">
        <v>1</v>
      </c>
      <c r="J270" t="s">
        <v>43</v>
      </c>
      <c r="K270">
        <v>5484</v>
      </c>
      <c r="L270">
        <v>65</v>
      </c>
      <c r="M270">
        <v>8</v>
      </c>
      <c r="N270">
        <v>91</v>
      </c>
      <c r="O270">
        <v>1.18E-2</v>
      </c>
      <c r="P270">
        <v>0.12720000000000001</v>
      </c>
      <c r="Q270">
        <v>1.4</v>
      </c>
    </row>
    <row r="271" spans="1:17" x14ac:dyDescent="0.3">
      <c r="A271" s="1">
        <v>45196</v>
      </c>
      <c r="B271" t="s">
        <v>42</v>
      </c>
      <c r="C271">
        <v>1665</v>
      </c>
      <c r="D271">
        <v>62</v>
      </c>
      <c r="E271">
        <v>17</v>
      </c>
      <c r="F271">
        <v>71</v>
      </c>
      <c r="G271">
        <v>3.7100000000000001E-2</v>
      </c>
      <c r="H271">
        <v>0.28089999999999998</v>
      </c>
      <c r="I271">
        <v>1.1499999999999999</v>
      </c>
      <c r="J271" t="s">
        <v>43</v>
      </c>
      <c r="K271">
        <v>5190</v>
      </c>
      <c r="L271">
        <v>66</v>
      </c>
      <c r="M271">
        <v>4</v>
      </c>
      <c r="N271">
        <v>153</v>
      </c>
      <c r="O271">
        <v>1.2699999999999999E-2</v>
      </c>
      <c r="P271">
        <v>6.5199999999999994E-2</v>
      </c>
      <c r="Q271">
        <v>2.33</v>
      </c>
    </row>
    <row r="272" spans="1:17" x14ac:dyDescent="0.3">
      <c r="A272" s="1">
        <v>45197</v>
      </c>
      <c r="B272" t="s">
        <v>42</v>
      </c>
      <c r="C272">
        <v>1576</v>
      </c>
      <c r="D272">
        <v>30</v>
      </c>
      <c r="E272">
        <v>8</v>
      </c>
      <c r="F272">
        <v>55</v>
      </c>
      <c r="G272">
        <v>1.9E-2</v>
      </c>
      <c r="H272">
        <v>0.26669999999999999</v>
      </c>
      <c r="I272">
        <v>1.82</v>
      </c>
      <c r="J272" t="s">
        <v>43</v>
      </c>
      <c r="K272">
        <v>3961</v>
      </c>
      <c r="L272">
        <v>81</v>
      </c>
      <c r="M272">
        <v>6</v>
      </c>
      <c r="N272">
        <v>125</v>
      </c>
      <c r="O272">
        <v>2.0400000000000001E-2</v>
      </c>
      <c r="P272">
        <v>7.4800000000000005E-2</v>
      </c>
      <c r="Q272">
        <v>1.55</v>
      </c>
    </row>
    <row r="273" spans="1:17" x14ac:dyDescent="0.3">
      <c r="A273" s="1">
        <v>45198</v>
      </c>
      <c r="B273" t="s">
        <v>42</v>
      </c>
      <c r="C273">
        <v>2437</v>
      </c>
      <c r="D273">
        <v>61</v>
      </c>
      <c r="E273">
        <v>16</v>
      </c>
      <c r="F273">
        <v>115</v>
      </c>
      <c r="G273">
        <v>2.4899999999999999E-2</v>
      </c>
      <c r="H273">
        <v>0.26600000000000001</v>
      </c>
      <c r="I273">
        <v>1.89</v>
      </c>
      <c r="J273" t="s">
        <v>43</v>
      </c>
      <c r="K273">
        <v>3950</v>
      </c>
      <c r="L273">
        <v>38</v>
      </c>
      <c r="M273">
        <v>4</v>
      </c>
      <c r="N273">
        <v>177</v>
      </c>
      <c r="O273">
        <v>9.5999999999999992E-3</v>
      </c>
      <c r="P273">
        <v>0.1026</v>
      </c>
      <c r="Q273">
        <v>4.67</v>
      </c>
    </row>
    <row r="274" spans="1:17" x14ac:dyDescent="0.3">
      <c r="A274" s="1">
        <v>45199</v>
      </c>
      <c r="B274" t="s">
        <v>42</v>
      </c>
      <c r="C274">
        <v>2860</v>
      </c>
      <c r="D274">
        <v>52</v>
      </c>
      <c r="E274">
        <v>14</v>
      </c>
      <c r="F274">
        <v>57</v>
      </c>
      <c r="G274">
        <v>1.8100000000000002E-2</v>
      </c>
      <c r="H274">
        <v>0.27710000000000001</v>
      </c>
      <c r="I274">
        <v>1.1000000000000001</v>
      </c>
      <c r="J274" t="s">
        <v>43</v>
      </c>
      <c r="K274">
        <v>4488</v>
      </c>
      <c r="L274">
        <v>60</v>
      </c>
      <c r="M274">
        <v>6</v>
      </c>
      <c r="N274">
        <v>134</v>
      </c>
      <c r="O274">
        <v>1.3299999999999999E-2</v>
      </c>
      <c r="P274">
        <v>0.10009999999999999</v>
      </c>
      <c r="Q274">
        <v>2.2400000000000002</v>
      </c>
    </row>
    <row r="275" spans="1:17" x14ac:dyDescent="0.3">
      <c r="A275" s="1">
        <v>45200</v>
      </c>
      <c r="B275" t="s">
        <v>44</v>
      </c>
      <c r="C275">
        <v>2145</v>
      </c>
      <c r="D275">
        <v>62</v>
      </c>
      <c r="E275">
        <v>17</v>
      </c>
      <c r="F275">
        <v>60</v>
      </c>
      <c r="G275">
        <v>2.9100000000000001E-2</v>
      </c>
      <c r="H275">
        <v>0.28029999999999999</v>
      </c>
      <c r="I275">
        <v>0.97</v>
      </c>
      <c r="J275" t="s">
        <v>45</v>
      </c>
      <c r="K275">
        <v>5320</v>
      </c>
      <c r="L275">
        <v>53</v>
      </c>
      <c r="M275">
        <v>6</v>
      </c>
      <c r="N275">
        <v>118</v>
      </c>
      <c r="O275">
        <v>0.01</v>
      </c>
      <c r="P275">
        <v>0.10630000000000001</v>
      </c>
      <c r="Q275">
        <v>2.21</v>
      </c>
    </row>
    <row r="276" spans="1:17" x14ac:dyDescent="0.3">
      <c r="A276" s="1">
        <v>45201</v>
      </c>
      <c r="B276" t="s">
        <v>44</v>
      </c>
      <c r="C276">
        <v>3218</v>
      </c>
      <c r="D276">
        <v>56</v>
      </c>
      <c r="E276">
        <v>12</v>
      </c>
      <c r="F276">
        <v>119</v>
      </c>
      <c r="G276">
        <v>1.7299999999999999E-2</v>
      </c>
      <c r="H276">
        <v>0.21790000000000001</v>
      </c>
      <c r="I276">
        <v>2.14</v>
      </c>
      <c r="J276" t="s">
        <v>45</v>
      </c>
      <c r="K276">
        <v>5026</v>
      </c>
      <c r="L276">
        <v>71</v>
      </c>
      <c r="M276">
        <v>7</v>
      </c>
      <c r="N276">
        <v>150</v>
      </c>
      <c r="O276">
        <v>1.4200000000000001E-2</v>
      </c>
      <c r="P276">
        <v>9.2100000000000001E-2</v>
      </c>
      <c r="Q276">
        <v>2.1</v>
      </c>
    </row>
    <row r="277" spans="1:17" x14ac:dyDescent="0.3">
      <c r="A277" s="1">
        <v>45202</v>
      </c>
      <c r="B277" t="s">
        <v>44</v>
      </c>
      <c r="C277">
        <v>1641</v>
      </c>
      <c r="D277">
        <v>58</v>
      </c>
      <c r="E277">
        <v>16</v>
      </c>
      <c r="F277">
        <v>94</v>
      </c>
      <c r="G277">
        <v>3.56E-2</v>
      </c>
      <c r="H277">
        <v>0.26850000000000002</v>
      </c>
      <c r="I277">
        <v>1.62</v>
      </c>
      <c r="J277" t="s">
        <v>45</v>
      </c>
      <c r="K277">
        <v>5053</v>
      </c>
      <c r="L277">
        <v>50</v>
      </c>
      <c r="M277">
        <v>7</v>
      </c>
      <c r="N277">
        <v>180</v>
      </c>
      <c r="O277">
        <v>0.01</v>
      </c>
      <c r="P277">
        <v>0.12939999999999999</v>
      </c>
      <c r="Q277">
        <v>3.57</v>
      </c>
    </row>
    <row r="278" spans="1:17" x14ac:dyDescent="0.3">
      <c r="A278" s="1">
        <v>45203</v>
      </c>
      <c r="B278" t="s">
        <v>44</v>
      </c>
      <c r="C278">
        <v>2525</v>
      </c>
      <c r="D278">
        <v>69</v>
      </c>
      <c r="E278">
        <v>19</v>
      </c>
      <c r="F278">
        <v>82</v>
      </c>
      <c r="G278">
        <v>2.7199999999999998E-2</v>
      </c>
      <c r="H278">
        <v>0.2727</v>
      </c>
      <c r="I278">
        <v>1.19</v>
      </c>
      <c r="J278" t="s">
        <v>45</v>
      </c>
      <c r="K278">
        <v>4484</v>
      </c>
      <c r="L278">
        <v>43</v>
      </c>
      <c r="M278">
        <v>5</v>
      </c>
      <c r="N278">
        <v>92</v>
      </c>
      <c r="O278">
        <v>9.4999999999999998E-3</v>
      </c>
      <c r="P278">
        <v>0.1203</v>
      </c>
      <c r="Q278">
        <v>2.16</v>
      </c>
    </row>
    <row r="279" spans="1:17" x14ac:dyDescent="0.3">
      <c r="A279" s="1">
        <v>45204</v>
      </c>
      <c r="B279" t="s">
        <v>44</v>
      </c>
      <c r="C279">
        <v>2496</v>
      </c>
      <c r="D279">
        <v>57</v>
      </c>
      <c r="E279">
        <v>13</v>
      </c>
      <c r="F279">
        <v>122</v>
      </c>
      <c r="G279">
        <v>2.2800000000000001E-2</v>
      </c>
      <c r="H279">
        <v>0.23519999999999999</v>
      </c>
      <c r="I279">
        <v>2.16</v>
      </c>
      <c r="J279" t="s">
        <v>45</v>
      </c>
      <c r="K279">
        <v>5098</v>
      </c>
      <c r="L279">
        <v>77</v>
      </c>
      <c r="M279">
        <v>5</v>
      </c>
      <c r="N279">
        <v>95</v>
      </c>
      <c r="O279">
        <v>1.52E-2</v>
      </c>
      <c r="P279">
        <v>6.2899999999999998E-2</v>
      </c>
      <c r="Q279">
        <v>1.22</v>
      </c>
    </row>
    <row r="280" spans="1:17" x14ac:dyDescent="0.3">
      <c r="A280" s="1">
        <v>45205</v>
      </c>
      <c r="B280" t="s">
        <v>44</v>
      </c>
      <c r="C280">
        <v>1707</v>
      </c>
      <c r="D280">
        <v>25</v>
      </c>
      <c r="E280">
        <v>9</v>
      </c>
      <c r="F280">
        <v>115</v>
      </c>
      <c r="G280">
        <v>1.49E-2</v>
      </c>
      <c r="H280">
        <v>0.35749999999999998</v>
      </c>
      <c r="I280">
        <v>4.53</v>
      </c>
      <c r="J280" t="s">
        <v>45</v>
      </c>
      <c r="K280">
        <v>5652</v>
      </c>
      <c r="L280">
        <v>40</v>
      </c>
      <c r="M280">
        <v>5</v>
      </c>
      <c r="N280">
        <v>185</v>
      </c>
      <c r="O280">
        <v>7.1000000000000004E-3</v>
      </c>
      <c r="P280">
        <v>0.12470000000000001</v>
      </c>
      <c r="Q280">
        <v>4.62</v>
      </c>
    </row>
    <row r="281" spans="1:17" x14ac:dyDescent="0.3">
      <c r="A281" s="1">
        <v>45206</v>
      </c>
      <c r="B281" t="s">
        <v>44</v>
      </c>
      <c r="C281">
        <v>2237</v>
      </c>
      <c r="D281">
        <v>35</v>
      </c>
      <c r="E281">
        <v>9</v>
      </c>
      <c r="F281">
        <v>113</v>
      </c>
      <c r="G281">
        <v>1.5699999999999999E-2</v>
      </c>
      <c r="H281">
        <v>0.25700000000000001</v>
      </c>
      <c r="I281">
        <v>3.22</v>
      </c>
      <c r="J281" t="s">
        <v>45</v>
      </c>
      <c r="K281">
        <v>3906</v>
      </c>
      <c r="L281">
        <v>70</v>
      </c>
      <c r="M281">
        <v>6</v>
      </c>
      <c r="N281">
        <v>129</v>
      </c>
      <c r="O281">
        <v>1.78E-2</v>
      </c>
      <c r="P281">
        <v>9.2999999999999999E-2</v>
      </c>
      <c r="Q281">
        <v>1.85</v>
      </c>
    </row>
    <row r="282" spans="1:17" x14ac:dyDescent="0.3">
      <c r="A282" s="1">
        <v>45207</v>
      </c>
      <c r="B282" t="s">
        <v>44</v>
      </c>
      <c r="C282">
        <v>3106</v>
      </c>
      <c r="D282">
        <v>42</v>
      </c>
      <c r="E282">
        <v>9</v>
      </c>
      <c r="F282">
        <v>48</v>
      </c>
      <c r="G282">
        <v>1.34E-2</v>
      </c>
      <c r="H282">
        <v>0.224</v>
      </c>
      <c r="I282">
        <v>1.1599999999999999</v>
      </c>
      <c r="J282" t="s">
        <v>45</v>
      </c>
      <c r="K282">
        <v>4218</v>
      </c>
      <c r="L282">
        <v>71</v>
      </c>
      <c r="M282">
        <v>7</v>
      </c>
      <c r="N282">
        <v>143</v>
      </c>
      <c r="O282">
        <v>1.6899999999999998E-2</v>
      </c>
      <c r="P282">
        <v>9.1999999999999998E-2</v>
      </c>
      <c r="Q282">
        <v>2</v>
      </c>
    </row>
    <row r="283" spans="1:17" x14ac:dyDescent="0.3">
      <c r="A283" s="1">
        <v>45208</v>
      </c>
      <c r="B283" t="s">
        <v>44</v>
      </c>
      <c r="C283">
        <v>2815</v>
      </c>
      <c r="D283">
        <v>55</v>
      </c>
      <c r="E283">
        <v>15</v>
      </c>
      <c r="F283">
        <v>62</v>
      </c>
      <c r="G283">
        <v>1.95E-2</v>
      </c>
      <c r="H283">
        <v>0.27289999999999998</v>
      </c>
      <c r="I283">
        <v>1.1399999999999999</v>
      </c>
      <c r="J283" t="s">
        <v>45</v>
      </c>
      <c r="K283">
        <v>4545</v>
      </c>
      <c r="L283">
        <v>66</v>
      </c>
      <c r="M283">
        <v>5</v>
      </c>
      <c r="N283">
        <v>162</v>
      </c>
      <c r="O283">
        <v>1.4500000000000001E-2</v>
      </c>
      <c r="P283">
        <v>8.0399999999999999E-2</v>
      </c>
      <c r="Q283">
        <v>2.46</v>
      </c>
    </row>
    <row r="284" spans="1:17" x14ac:dyDescent="0.3">
      <c r="A284" s="1">
        <v>45209</v>
      </c>
      <c r="B284" t="s">
        <v>44</v>
      </c>
      <c r="C284">
        <v>1916</v>
      </c>
      <c r="D284">
        <v>36</v>
      </c>
      <c r="E284">
        <v>11</v>
      </c>
      <c r="F284">
        <v>53</v>
      </c>
      <c r="G284">
        <v>1.8700000000000001E-2</v>
      </c>
      <c r="H284">
        <v>0.31140000000000001</v>
      </c>
      <c r="I284">
        <v>1.47</v>
      </c>
      <c r="J284" t="s">
        <v>45</v>
      </c>
      <c r="K284">
        <v>4817</v>
      </c>
      <c r="L284">
        <v>80</v>
      </c>
      <c r="M284">
        <v>6</v>
      </c>
      <c r="N284">
        <v>168</v>
      </c>
      <c r="O284">
        <v>1.66E-2</v>
      </c>
      <c r="P284">
        <v>7.4999999999999997E-2</v>
      </c>
      <c r="Q284">
        <v>2.09</v>
      </c>
    </row>
    <row r="285" spans="1:17" x14ac:dyDescent="0.3">
      <c r="A285" s="1">
        <v>45210</v>
      </c>
      <c r="B285" t="s">
        <v>44</v>
      </c>
      <c r="C285">
        <v>1656</v>
      </c>
      <c r="D285">
        <v>28</v>
      </c>
      <c r="E285">
        <v>8</v>
      </c>
      <c r="F285">
        <v>106</v>
      </c>
      <c r="G285">
        <v>1.67E-2</v>
      </c>
      <c r="H285">
        <v>0.2722</v>
      </c>
      <c r="I285">
        <v>3.83</v>
      </c>
      <c r="J285" t="s">
        <v>45</v>
      </c>
      <c r="K285">
        <v>4758</v>
      </c>
      <c r="L285">
        <v>43</v>
      </c>
      <c r="M285">
        <v>6</v>
      </c>
      <c r="N285">
        <v>99</v>
      </c>
      <c r="O285">
        <v>8.9999999999999993E-3</v>
      </c>
      <c r="P285">
        <v>0.1431</v>
      </c>
      <c r="Q285">
        <v>2.31</v>
      </c>
    </row>
    <row r="286" spans="1:17" x14ac:dyDescent="0.3">
      <c r="A286" s="1">
        <v>45211</v>
      </c>
      <c r="B286" t="s">
        <v>44</v>
      </c>
      <c r="C286">
        <v>3055</v>
      </c>
      <c r="D286">
        <v>39</v>
      </c>
      <c r="E286">
        <v>10</v>
      </c>
      <c r="F286">
        <v>57</v>
      </c>
      <c r="G286">
        <v>1.2699999999999999E-2</v>
      </c>
      <c r="H286">
        <v>0.25140000000000001</v>
      </c>
      <c r="I286">
        <v>1.46</v>
      </c>
      <c r="J286" t="s">
        <v>45</v>
      </c>
      <c r="K286">
        <v>4744</v>
      </c>
      <c r="L286">
        <v>50</v>
      </c>
      <c r="M286">
        <v>4</v>
      </c>
      <c r="N286">
        <v>82</v>
      </c>
      <c r="O286">
        <v>1.0500000000000001E-2</v>
      </c>
      <c r="P286">
        <v>9.0200000000000002E-2</v>
      </c>
      <c r="Q286">
        <v>1.66</v>
      </c>
    </row>
    <row r="287" spans="1:17" x14ac:dyDescent="0.3">
      <c r="A287" s="1">
        <v>45212</v>
      </c>
      <c r="B287" t="s">
        <v>44</v>
      </c>
      <c r="C287">
        <v>2107</v>
      </c>
      <c r="D287">
        <v>36</v>
      </c>
      <c r="E287">
        <v>8</v>
      </c>
      <c r="F287">
        <v>122</v>
      </c>
      <c r="G287">
        <v>1.7100000000000001E-2</v>
      </c>
      <c r="H287">
        <v>0.2278</v>
      </c>
      <c r="I287">
        <v>3.38</v>
      </c>
      <c r="J287" t="s">
        <v>45</v>
      </c>
      <c r="K287">
        <v>5185</v>
      </c>
      <c r="L287">
        <v>89</v>
      </c>
      <c r="M287">
        <v>6</v>
      </c>
      <c r="N287">
        <v>164</v>
      </c>
      <c r="O287">
        <v>1.7100000000000001E-2</v>
      </c>
      <c r="P287">
        <v>7.2499999999999995E-2</v>
      </c>
      <c r="Q287">
        <v>1.84</v>
      </c>
    </row>
    <row r="288" spans="1:17" x14ac:dyDescent="0.3">
      <c r="A288" s="1">
        <v>45213</v>
      </c>
      <c r="B288" t="s">
        <v>44</v>
      </c>
      <c r="C288">
        <v>2876</v>
      </c>
      <c r="D288">
        <v>58</v>
      </c>
      <c r="E288">
        <v>13</v>
      </c>
      <c r="F288">
        <v>134</v>
      </c>
      <c r="G288">
        <v>2.01E-2</v>
      </c>
      <c r="H288">
        <v>0.21729999999999999</v>
      </c>
      <c r="I288">
        <v>2.3199999999999998</v>
      </c>
      <c r="J288" t="s">
        <v>45</v>
      </c>
      <c r="K288">
        <v>5002</v>
      </c>
      <c r="L288">
        <v>68</v>
      </c>
      <c r="M288">
        <v>8</v>
      </c>
      <c r="N288">
        <v>104</v>
      </c>
      <c r="O288">
        <v>1.37E-2</v>
      </c>
      <c r="P288">
        <v>0.123</v>
      </c>
      <c r="Q288">
        <v>1.53</v>
      </c>
    </row>
    <row r="289" spans="1:17" x14ac:dyDescent="0.3">
      <c r="A289" s="1">
        <v>45214</v>
      </c>
      <c r="B289" t="s">
        <v>44</v>
      </c>
      <c r="C289">
        <v>2093</v>
      </c>
      <c r="D289">
        <v>44</v>
      </c>
      <c r="E289">
        <v>11</v>
      </c>
      <c r="F289">
        <v>114</v>
      </c>
      <c r="G289">
        <v>2.12E-2</v>
      </c>
      <c r="H289">
        <v>0.245</v>
      </c>
      <c r="I289">
        <v>2.56</v>
      </c>
      <c r="J289" t="s">
        <v>45</v>
      </c>
      <c r="K289">
        <v>5443</v>
      </c>
      <c r="L289">
        <v>52</v>
      </c>
      <c r="M289">
        <v>4</v>
      </c>
      <c r="N289">
        <v>153</v>
      </c>
      <c r="O289">
        <v>9.5999999999999992E-3</v>
      </c>
      <c r="P289">
        <v>6.9099999999999995E-2</v>
      </c>
      <c r="Q289">
        <v>2.93</v>
      </c>
    </row>
    <row r="290" spans="1:17" x14ac:dyDescent="0.3">
      <c r="A290" s="1">
        <v>45215</v>
      </c>
      <c r="B290" t="s">
        <v>44</v>
      </c>
      <c r="C290">
        <v>1829</v>
      </c>
      <c r="D290">
        <v>51</v>
      </c>
      <c r="E290">
        <v>12</v>
      </c>
      <c r="F290">
        <v>81</v>
      </c>
      <c r="G290">
        <v>2.7699999999999999E-2</v>
      </c>
      <c r="H290">
        <v>0.23949999999999999</v>
      </c>
      <c r="I290">
        <v>1.61</v>
      </c>
      <c r="J290" t="s">
        <v>45</v>
      </c>
      <c r="K290">
        <v>3920</v>
      </c>
      <c r="L290">
        <v>51</v>
      </c>
      <c r="M290">
        <v>8</v>
      </c>
      <c r="N290">
        <v>87</v>
      </c>
      <c r="O290">
        <v>1.3100000000000001E-2</v>
      </c>
      <c r="P290">
        <v>0.14760000000000001</v>
      </c>
      <c r="Q290">
        <v>1.7</v>
      </c>
    </row>
    <row r="291" spans="1:17" x14ac:dyDescent="0.3">
      <c r="A291" s="1">
        <v>45216</v>
      </c>
      <c r="B291" t="s">
        <v>44</v>
      </c>
      <c r="C291">
        <v>1268</v>
      </c>
      <c r="D291">
        <v>46</v>
      </c>
      <c r="E291">
        <v>14</v>
      </c>
      <c r="F291">
        <v>51</v>
      </c>
      <c r="G291">
        <v>3.6400000000000002E-2</v>
      </c>
      <c r="H291">
        <v>0.3085</v>
      </c>
      <c r="I291">
        <v>1.1100000000000001</v>
      </c>
      <c r="J291" t="s">
        <v>45</v>
      </c>
      <c r="K291">
        <v>5167</v>
      </c>
      <c r="L291">
        <v>40</v>
      </c>
      <c r="M291">
        <v>7</v>
      </c>
      <c r="N291">
        <v>104</v>
      </c>
      <c r="O291">
        <v>7.7999999999999996E-3</v>
      </c>
      <c r="P291">
        <v>0.17449999999999999</v>
      </c>
      <c r="Q291">
        <v>2.58</v>
      </c>
    </row>
    <row r="292" spans="1:17" x14ac:dyDescent="0.3">
      <c r="A292" s="1">
        <v>45217</v>
      </c>
      <c r="B292" t="s">
        <v>44</v>
      </c>
      <c r="C292">
        <v>1291</v>
      </c>
      <c r="D292">
        <v>51</v>
      </c>
      <c r="E292">
        <v>11</v>
      </c>
      <c r="F292">
        <v>124</v>
      </c>
      <c r="G292">
        <v>3.9600000000000003E-2</v>
      </c>
      <c r="H292">
        <v>0.21959999999999999</v>
      </c>
      <c r="I292">
        <v>2.4300000000000002</v>
      </c>
      <c r="J292" t="s">
        <v>45</v>
      </c>
      <c r="K292">
        <v>5279</v>
      </c>
      <c r="L292">
        <v>40</v>
      </c>
      <c r="M292">
        <v>3</v>
      </c>
      <c r="N292">
        <v>110</v>
      </c>
      <c r="O292">
        <v>7.6E-3</v>
      </c>
      <c r="P292">
        <v>7.4999999999999997E-2</v>
      </c>
      <c r="Q292">
        <v>2.76</v>
      </c>
    </row>
    <row r="293" spans="1:17" x14ac:dyDescent="0.3">
      <c r="A293" s="1">
        <v>45218</v>
      </c>
      <c r="B293" t="s">
        <v>44</v>
      </c>
      <c r="C293">
        <v>2031</v>
      </c>
      <c r="D293">
        <v>53</v>
      </c>
      <c r="E293">
        <v>13</v>
      </c>
      <c r="F293">
        <v>120</v>
      </c>
      <c r="G293">
        <v>2.5999999999999999E-2</v>
      </c>
      <c r="H293">
        <v>0.23799999999999999</v>
      </c>
      <c r="I293">
        <v>2.27</v>
      </c>
      <c r="J293" t="s">
        <v>45</v>
      </c>
      <c r="K293">
        <v>3751</v>
      </c>
      <c r="L293">
        <v>50</v>
      </c>
      <c r="M293">
        <v>5</v>
      </c>
      <c r="N293">
        <v>139</v>
      </c>
      <c r="O293">
        <v>1.35E-2</v>
      </c>
      <c r="P293">
        <v>8.9599999999999999E-2</v>
      </c>
      <c r="Q293">
        <v>2.76</v>
      </c>
    </row>
    <row r="294" spans="1:17" x14ac:dyDescent="0.3">
      <c r="A294" s="1">
        <v>45219</v>
      </c>
      <c r="B294" t="s">
        <v>44</v>
      </c>
      <c r="C294">
        <v>2565</v>
      </c>
      <c r="D294">
        <v>49</v>
      </c>
      <c r="E294">
        <v>13</v>
      </c>
      <c r="F294">
        <v>126</v>
      </c>
      <c r="G294">
        <v>1.9099999999999999E-2</v>
      </c>
      <c r="H294">
        <v>0.2611</v>
      </c>
      <c r="I294">
        <v>2.56</v>
      </c>
      <c r="J294" t="s">
        <v>45</v>
      </c>
      <c r="K294">
        <v>3800</v>
      </c>
      <c r="L294">
        <v>65</v>
      </c>
      <c r="M294">
        <v>5</v>
      </c>
      <c r="N294">
        <v>88</v>
      </c>
      <c r="O294">
        <v>1.7100000000000001E-2</v>
      </c>
      <c r="P294">
        <v>8.09E-2</v>
      </c>
      <c r="Q294">
        <v>1.35</v>
      </c>
    </row>
    <row r="295" spans="1:17" x14ac:dyDescent="0.3">
      <c r="A295" s="1">
        <v>45220</v>
      </c>
      <c r="B295" t="s">
        <v>44</v>
      </c>
      <c r="C295">
        <v>2765</v>
      </c>
      <c r="D295">
        <v>65</v>
      </c>
      <c r="E295">
        <v>16</v>
      </c>
      <c r="F295">
        <v>92</v>
      </c>
      <c r="G295">
        <v>2.3599999999999999E-2</v>
      </c>
      <c r="H295">
        <v>0.246</v>
      </c>
      <c r="I295">
        <v>1.41</v>
      </c>
      <c r="J295" t="s">
        <v>45</v>
      </c>
      <c r="K295">
        <v>4981</v>
      </c>
      <c r="L295">
        <v>47</v>
      </c>
      <c r="M295">
        <v>7</v>
      </c>
      <c r="N295">
        <v>109</v>
      </c>
      <c r="O295">
        <v>9.4999999999999998E-3</v>
      </c>
      <c r="P295">
        <v>0.1555</v>
      </c>
      <c r="Q295">
        <v>2.2999999999999998</v>
      </c>
    </row>
    <row r="296" spans="1:17" x14ac:dyDescent="0.3">
      <c r="A296" s="1">
        <v>45221</v>
      </c>
      <c r="B296" t="s">
        <v>44</v>
      </c>
      <c r="C296">
        <v>1654</v>
      </c>
      <c r="D296">
        <v>63</v>
      </c>
      <c r="E296">
        <v>18</v>
      </c>
      <c r="F296">
        <v>43</v>
      </c>
      <c r="G296">
        <v>3.7999999999999999E-2</v>
      </c>
      <c r="H296">
        <v>0.27960000000000002</v>
      </c>
      <c r="I296">
        <v>0.68</v>
      </c>
      <c r="J296" t="s">
        <v>45</v>
      </c>
      <c r="K296">
        <v>5566</v>
      </c>
      <c r="L296">
        <v>77</v>
      </c>
      <c r="M296">
        <v>5</v>
      </c>
      <c r="N296">
        <v>74</v>
      </c>
      <c r="O296">
        <v>1.3899999999999999E-2</v>
      </c>
      <c r="P296">
        <v>6.3E-2</v>
      </c>
      <c r="Q296">
        <v>0.96</v>
      </c>
    </row>
    <row r="297" spans="1:17" x14ac:dyDescent="0.3">
      <c r="A297" s="1">
        <v>45222</v>
      </c>
      <c r="B297" t="s">
        <v>44</v>
      </c>
      <c r="C297">
        <v>2006</v>
      </c>
      <c r="D297">
        <v>70</v>
      </c>
      <c r="E297">
        <v>17</v>
      </c>
      <c r="F297">
        <v>99</v>
      </c>
      <c r="G297">
        <v>3.4799999999999998E-2</v>
      </c>
      <c r="H297">
        <v>0.2429</v>
      </c>
      <c r="I297">
        <v>1.41</v>
      </c>
      <c r="J297" t="s">
        <v>45</v>
      </c>
      <c r="K297">
        <v>5283</v>
      </c>
      <c r="L297">
        <v>55</v>
      </c>
      <c r="M297">
        <v>6</v>
      </c>
      <c r="N297">
        <v>99</v>
      </c>
      <c r="O297">
        <v>1.0500000000000001E-2</v>
      </c>
      <c r="P297">
        <v>0.1042</v>
      </c>
      <c r="Q297">
        <v>1.79</v>
      </c>
    </row>
    <row r="298" spans="1:17" x14ac:dyDescent="0.3">
      <c r="A298" s="1">
        <v>45223</v>
      </c>
      <c r="B298" t="s">
        <v>44</v>
      </c>
      <c r="C298">
        <v>2372</v>
      </c>
      <c r="D298">
        <v>43</v>
      </c>
      <c r="E298">
        <v>11</v>
      </c>
      <c r="F298">
        <v>89</v>
      </c>
      <c r="G298">
        <v>1.7999999999999999E-2</v>
      </c>
      <c r="H298">
        <v>0.24690000000000001</v>
      </c>
      <c r="I298">
        <v>2.09</v>
      </c>
      <c r="J298" t="s">
        <v>45</v>
      </c>
      <c r="K298">
        <v>5473</v>
      </c>
      <c r="L298">
        <v>74</v>
      </c>
      <c r="M298">
        <v>6</v>
      </c>
      <c r="N298">
        <v>193</v>
      </c>
      <c r="O298">
        <v>1.35E-2</v>
      </c>
      <c r="P298">
        <v>7.6999999999999999E-2</v>
      </c>
      <c r="Q298">
        <v>2.6</v>
      </c>
    </row>
    <row r="299" spans="1:17" x14ac:dyDescent="0.3">
      <c r="A299" s="1">
        <v>45224</v>
      </c>
      <c r="B299" t="s">
        <v>44</v>
      </c>
      <c r="C299">
        <v>1932</v>
      </c>
      <c r="D299">
        <v>46</v>
      </c>
      <c r="E299">
        <v>13</v>
      </c>
      <c r="F299">
        <v>84</v>
      </c>
      <c r="G299">
        <v>2.4E-2</v>
      </c>
      <c r="H299">
        <v>0.28639999999999999</v>
      </c>
      <c r="I299">
        <v>1.82</v>
      </c>
      <c r="J299" t="s">
        <v>45</v>
      </c>
      <c r="K299">
        <v>4361</v>
      </c>
      <c r="L299">
        <v>76</v>
      </c>
      <c r="M299">
        <v>8</v>
      </c>
      <c r="N299">
        <v>153</v>
      </c>
      <c r="O299">
        <v>1.7500000000000002E-2</v>
      </c>
      <c r="P299">
        <v>0.10249999999999999</v>
      </c>
      <c r="Q299">
        <v>2.0099999999999998</v>
      </c>
    </row>
    <row r="300" spans="1:17" x14ac:dyDescent="0.3">
      <c r="A300" s="1">
        <v>45225</v>
      </c>
      <c r="B300" t="s">
        <v>44</v>
      </c>
      <c r="C300">
        <v>2905</v>
      </c>
      <c r="D300">
        <v>62</v>
      </c>
      <c r="E300">
        <v>13</v>
      </c>
      <c r="F300">
        <v>124</v>
      </c>
      <c r="G300">
        <v>2.1499999999999998E-2</v>
      </c>
      <c r="H300">
        <v>0.216</v>
      </c>
      <c r="I300">
        <v>1.98</v>
      </c>
      <c r="J300" t="s">
        <v>45</v>
      </c>
      <c r="K300">
        <v>5096</v>
      </c>
      <c r="L300">
        <v>52</v>
      </c>
      <c r="M300">
        <v>8</v>
      </c>
      <c r="N300">
        <v>149</v>
      </c>
      <c r="O300">
        <v>1.03E-2</v>
      </c>
      <c r="P300">
        <v>0.1457</v>
      </c>
      <c r="Q300">
        <v>2.85</v>
      </c>
    </row>
    <row r="301" spans="1:17" x14ac:dyDescent="0.3">
      <c r="A301" s="1">
        <v>45226</v>
      </c>
      <c r="B301" t="s">
        <v>44</v>
      </c>
      <c r="C301">
        <v>1429</v>
      </c>
      <c r="D301">
        <v>56</v>
      </c>
      <c r="E301">
        <v>12</v>
      </c>
      <c r="F301">
        <v>124</v>
      </c>
      <c r="G301">
        <v>3.95E-2</v>
      </c>
      <c r="H301">
        <v>0.2177</v>
      </c>
      <c r="I301">
        <v>2.2000000000000002</v>
      </c>
      <c r="J301" t="s">
        <v>45</v>
      </c>
      <c r="K301">
        <v>4569</v>
      </c>
      <c r="L301">
        <v>67</v>
      </c>
      <c r="M301">
        <v>7</v>
      </c>
      <c r="N301">
        <v>77</v>
      </c>
      <c r="O301">
        <v>1.47E-2</v>
      </c>
      <c r="P301">
        <v>0.1094</v>
      </c>
      <c r="Q301">
        <v>1.1399999999999999</v>
      </c>
    </row>
    <row r="302" spans="1:17" x14ac:dyDescent="0.3">
      <c r="A302" s="1">
        <v>45227</v>
      </c>
      <c r="B302" t="s">
        <v>44</v>
      </c>
      <c r="C302">
        <v>1618</v>
      </c>
      <c r="D302">
        <v>54</v>
      </c>
      <c r="E302">
        <v>16</v>
      </c>
      <c r="F302">
        <v>126</v>
      </c>
      <c r="G302">
        <v>3.3399999999999999E-2</v>
      </c>
      <c r="H302">
        <v>0.29239999999999999</v>
      </c>
      <c r="I302">
        <v>2.33</v>
      </c>
      <c r="J302" t="s">
        <v>45</v>
      </c>
      <c r="K302">
        <v>3770</v>
      </c>
      <c r="L302">
        <v>48</v>
      </c>
      <c r="M302">
        <v>4</v>
      </c>
      <c r="N302">
        <v>144</v>
      </c>
      <c r="O302">
        <v>1.29E-2</v>
      </c>
      <c r="P302">
        <v>9.1300000000000006E-2</v>
      </c>
      <c r="Q302">
        <v>2.97</v>
      </c>
    </row>
    <row r="303" spans="1:17" x14ac:dyDescent="0.3">
      <c r="A303" s="1">
        <v>45228</v>
      </c>
      <c r="B303" t="s">
        <v>44</v>
      </c>
      <c r="C303">
        <v>1476</v>
      </c>
      <c r="D303">
        <v>34</v>
      </c>
      <c r="E303">
        <v>10</v>
      </c>
      <c r="F303">
        <v>130</v>
      </c>
      <c r="G303">
        <v>2.3199999999999998E-2</v>
      </c>
      <c r="H303">
        <v>0.28770000000000001</v>
      </c>
      <c r="I303">
        <v>3.81</v>
      </c>
      <c r="J303" t="s">
        <v>45</v>
      </c>
      <c r="K303">
        <v>4597</v>
      </c>
      <c r="L303">
        <v>63</v>
      </c>
      <c r="M303">
        <v>7</v>
      </c>
      <c r="N303">
        <v>82</v>
      </c>
      <c r="O303">
        <v>1.37E-2</v>
      </c>
      <c r="P303">
        <v>0.1135</v>
      </c>
      <c r="Q303">
        <v>1.3</v>
      </c>
    </row>
    <row r="304" spans="1:17" x14ac:dyDescent="0.3">
      <c r="A304" s="1">
        <v>45229</v>
      </c>
      <c r="B304" t="s">
        <v>44</v>
      </c>
      <c r="C304">
        <v>2399</v>
      </c>
      <c r="D304">
        <v>64</v>
      </c>
      <c r="E304">
        <v>18</v>
      </c>
      <c r="F304">
        <v>70</v>
      </c>
      <c r="G304">
        <v>2.6499999999999999E-2</v>
      </c>
      <c r="H304">
        <v>0.27860000000000001</v>
      </c>
      <c r="I304">
        <v>1.1100000000000001</v>
      </c>
      <c r="J304" t="s">
        <v>45</v>
      </c>
      <c r="K304">
        <v>4576</v>
      </c>
      <c r="L304">
        <v>54</v>
      </c>
      <c r="M304">
        <v>6</v>
      </c>
      <c r="N304">
        <v>179</v>
      </c>
      <c r="O304">
        <v>1.17E-2</v>
      </c>
      <c r="P304">
        <v>0.106</v>
      </c>
      <c r="Q304">
        <v>3.34</v>
      </c>
    </row>
    <row r="305" spans="1:17" x14ac:dyDescent="0.3">
      <c r="A305" s="1">
        <v>45230</v>
      </c>
      <c r="B305" t="s">
        <v>44</v>
      </c>
      <c r="C305">
        <v>2902</v>
      </c>
      <c r="D305">
        <v>64</v>
      </c>
      <c r="E305">
        <v>18</v>
      </c>
      <c r="F305">
        <v>85</v>
      </c>
      <c r="G305">
        <v>2.2100000000000002E-2</v>
      </c>
      <c r="H305">
        <v>0.27800000000000002</v>
      </c>
      <c r="I305">
        <v>1.32</v>
      </c>
      <c r="J305" t="s">
        <v>45</v>
      </c>
      <c r="K305">
        <v>4039</v>
      </c>
      <c r="L305">
        <v>38</v>
      </c>
      <c r="M305">
        <v>5</v>
      </c>
      <c r="N305">
        <v>189</v>
      </c>
      <c r="O305">
        <v>9.4000000000000004E-3</v>
      </c>
      <c r="P305">
        <v>0.1293</v>
      </c>
      <c r="Q305">
        <v>4.99</v>
      </c>
    </row>
    <row r="306" spans="1:17" x14ac:dyDescent="0.3">
      <c r="A306" s="1">
        <v>45231</v>
      </c>
      <c r="B306" t="s">
        <v>46</v>
      </c>
      <c r="C306">
        <v>1642</v>
      </c>
      <c r="D306">
        <v>71</v>
      </c>
      <c r="E306">
        <v>16</v>
      </c>
      <c r="F306">
        <v>48</v>
      </c>
      <c r="G306">
        <v>4.3099999999999999E-2</v>
      </c>
      <c r="H306">
        <v>0.2283</v>
      </c>
      <c r="I306">
        <v>0.68</v>
      </c>
      <c r="J306" t="s">
        <v>47</v>
      </c>
      <c r="K306">
        <v>4442</v>
      </c>
      <c r="L306">
        <v>75</v>
      </c>
      <c r="M306">
        <v>8</v>
      </c>
      <c r="N306">
        <v>102</v>
      </c>
      <c r="O306">
        <v>1.7000000000000001E-2</v>
      </c>
      <c r="P306">
        <v>0.10299999999999999</v>
      </c>
      <c r="Q306">
        <v>1.36</v>
      </c>
    </row>
    <row r="307" spans="1:17" x14ac:dyDescent="0.3">
      <c r="A307" s="1">
        <v>45232</v>
      </c>
      <c r="B307" t="s">
        <v>46</v>
      </c>
      <c r="C307">
        <v>2591</v>
      </c>
      <c r="D307">
        <v>28</v>
      </c>
      <c r="E307">
        <v>10</v>
      </c>
      <c r="F307">
        <v>127</v>
      </c>
      <c r="G307">
        <v>1.0699999999999999E-2</v>
      </c>
      <c r="H307">
        <v>0.34489999999999998</v>
      </c>
      <c r="I307">
        <v>4.59</v>
      </c>
      <c r="J307" t="s">
        <v>47</v>
      </c>
      <c r="K307">
        <v>3796</v>
      </c>
      <c r="L307">
        <v>73</v>
      </c>
      <c r="M307">
        <v>6</v>
      </c>
      <c r="N307">
        <v>115</v>
      </c>
      <c r="O307">
        <v>1.9300000000000001E-2</v>
      </c>
      <c r="P307">
        <v>7.7299999999999994E-2</v>
      </c>
      <c r="Q307">
        <v>1.57</v>
      </c>
    </row>
    <row r="308" spans="1:17" x14ac:dyDescent="0.3">
      <c r="A308" s="1">
        <v>45233</v>
      </c>
      <c r="B308" t="s">
        <v>46</v>
      </c>
      <c r="C308">
        <v>1648</v>
      </c>
      <c r="D308">
        <v>39</v>
      </c>
      <c r="E308">
        <v>11</v>
      </c>
      <c r="F308">
        <v>83</v>
      </c>
      <c r="G308">
        <v>2.3900000000000001E-2</v>
      </c>
      <c r="H308">
        <v>0.27610000000000001</v>
      </c>
      <c r="I308">
        <v>2.11</v>
      </c>
      <c r="J308" t="s">
        <v>47</v>
      </c>
      <c r="K308">
        <v>4531</v>
      </c>
      <c r="L308">
        <v>52</v>
      </c>
      <c r="M308">
        <v>4</v>
      </c>
      <c r="N308">
        <v>142</v>
      </c>
      <c r="O308">
        <v>1.15E-2</v>
      </c>
      <c r="P308">
        <v>6.9099999999999995E-2</v>
      </c>
      <c r="Q308">
        <v>2.72</v>
      </c>
    </row>
    <row r="309" spans="1:17" x14ac:dyDescent="0.3">
      <c r="A309" s="1">
        <v>45234</v>
      </c>
      <c r="B309" t="s">
        <v>46</v>
      </c>
      <c r="C309">
        <v>2429</v>
      </c>
      <c r="D309">
        <v>53</v>
      </c>
      <c r="E309">
        <v>13</v>
      </c>
      <c r="F309">
        <v>102</v>
      </c>
      <c r="G309">
        <v>2.1700000000000001E-2</v>
      </c>
      <c r="H309">
        <v>0.23799999999999999</v>
      </c>
      <c r="I309">
        <v>1.94</v>
      </c>
      <c r="J309" t="s">
        <v>47</v>
      </c>
      <c r="K309">
        <v>5122</v>
      </c>
      <c r="L309">
        <v>49</v>
      </c>
      <c r="M309">
        <v>6</v>
      </c>
      <c r="N309">
        <v>97</v>
      </c>
      <c r="O309">
        <v>9.5999999999999992E-3</v>
      </c>
      <c r="P309">
        <v>0.13100000000000001</v>
      </c>
      <c r="Q309">
        <v>1.95</v>
      </c>
    </row>
    <row r="310" spans="1:17" x14ac:dyDescent="0.3">
      <c r="A310" s="1">
        <v>45235</v>
      </c>
      <c r="B310" t="s">
        <v>46</v>
      </c>
      <c r="C310">
        <v>1739</v>
      </c>
      <c r="D310">
        <v>35</v>
      </c>
      <c r="E310">
        <v>9</v>
      </c>
      <c r="F310">
        <v>95</v>
      </c>
      <c r="G310">
        <v>2.01E-2</v>
      </c>
      <c r="H310">
        <v>0.25729999999999997</v>
      </c>
      <c r="I310">
        <v>2.72</v>
      </c>
      <c r="J310" t="s">
        <v>47</v>
      </c>
      <c r="K310">
        <v>5622</v>
      </c>
      <c r="L310">
        <v>47</v>
      </c>
      <c r="M310">
        <v>3</v>
      </c>
      <c r="N310">
        <v>135</v>
      </c>
      <c r="O310">
        <v>8.3000000000000001E-3</v>
      </c>
      <c r="P310">
        <v>7.1400000000000005E-2</v>
      </c>
      <c r="Q310">
        <v>2.88</v>
      </c>
    </row>
    <row r="311" spans="1:17" x14ac:dyDescent="0.3">
      <c r="A311" s="1">
        <v>45236</v>
      </c>
      <c r="B311" t="s">
        <v>46</v>
      </c>
      <c r="C311">
        <v>2857</v>
      </c>
      <c r="D311">
        <v>46</v>
      </c>
      <c r="E311">
        <v>11</v>
      </c>
      <c r="F311">
        <v>73</v>
      </c>
      <c r="G311">
        <v>1.6E-2</v>
      </c>
      <c r="H311">
        <v>0.24390000000000001</v>
      </c>
      <c r="I311">
        <v>1.59</v>
      </c>
      <c r="J311" t="s">
        <v>47</v>
      </c>
      <c r="K311">
        <v>4832</v>
      </c>
      <c r="L311">
        <v>65</v>
      </c>
      <c r="M311">
        <v>8</v>
      </c>
      <c r="N311">
        <v>166</v>
      </c>
      <c r="O311">
        <v>1.34E-2</v>
      </c>
      <c r="P311">
        <v>0.127</v>
      </c>
      <c r="Q311">
        <v>2.56</v>
      </c>
    </row>
    <row r="312" spans="1:17" x14ac:dyDescent="0.3">
      <c r="A312" s="1">
        <v>45237</v>
      </c>
      <c r="B312" t="s">
        <v>46</v>
      </c>
      <c r="C312">
        <v>2722</v>
      </c>
      <c r="D312">
        <v>33</v>
      </c>
      <c r="E312">
        <v>8</v>
      </c>
      <c r="F312">
        <v>69</v>
      </c>
      <c r="G312">
        <v>1.2E-2</v>
      </c>
      <c r="H312">
        <v>0.23050000000000001</v>
      </c>
      <c r="I312">
        <v>2.1</v>
      </c>
      <c r="J312" t="s">
        <v>47</v>
      </c>
      <c r="K312">
        <v>5555</v>
      </c>
      <c r="L312">
        <v>79</v>
      </c>
      <c r="M312">
        <v>9</v>
      </c>
      <c r="N312">
        <v>111</v>
      </c>
      <c r="O312">
        <v>1.4200000000000001E-2</v>
      </c>
      <c r="P312">
        <v>0.1132</v>
      </c>
      <c r="Q312">
        <v>1.4</v>
      </c>
    </row>
    <row r="313" spans="1:17" x14ac:dyDescent="0.3">
      <c r="A313" s="1">
        <v>45238</v>
      </c>
      <c r="B313" t="s">
        <v>46</v>
      </c>
      <c r="C313">
        <v>1606</v>
      </c>
      <c r="D313">
        <v>40</v>
      </c>
      <c r="E313">
        <v>11</v>
      </c>
      <c r="F313">
        <v>61</v>
      </c>
      <c r="G313">
        <v>2.4899999999999999E-2</v>
      </c>
      <c r="H313">
        <v>0.27500000000000002</v>
      </c>
      <c r="I313">
        <v>1.53</v>
      </c>
      <c r="J313" t="s">
        <v>47</v>
      </c>
      <c r="K313">
        <v>5263</v>
      </c>
      <c r="L313">
        <v>43</v>
      </c>
      <c r="M313">
        <v>5</v>
      </c>
      <c r="N313">
        <v>111</v>
      </c>
      <c r="O313">
        <v>8.2000000000000007E-3</v>
      </c>
      <c r="P313">
        <v>0.11990000000000001</v>
      </c>
      <c r="Q313">
        <v>2.59</v>
      </c>
    </row>
    <row r="314" spans="1:17" x14ac:dyDescent="0.3">
      <c r="A314" s="1">
        <v>45239</v>
      </c>
      <c r="B314" t="s">
        <v>46</v>
      </c>
      <c r="C314">
        <v>1523</v>
      </c>
      <c r="D314">
        <v>38</v>
      </c>
      <c r="E314">
        <v>13</v>
      </c>
      <c r="F314">
        <v>83</v>
      </c>
      <c r="G314">
        <v>2.4799999999999999E-2</v>
      </c>
      <c r="H314">
        <v>0.33229999999999998</v>
      </c>
      <c r="I314">
        <v>2.19</v>
      </c>
      <c r="J314" t="s">
        <v>47</v>
      </c>
      <c r="K314">
        <v>4655</v>
      </c>
      <c r="L314">
        <v>58</v>
      </c>
      <c r="M314">
        <v>4</v>
      </c>
      <c r="N314">
        <v>117</v>
      </c>
      <c r="O314">
        <v>1.2500000000000001E-2</v>
      </c>
      <c r="P314">
        <v>6.7100000000000007E-2</v>
      </c>
      <c r="Q314">
        <v>2</v>
      </c>
    </row>
    <row r="315" spans="1:17" x14ac:dyDescent="0.3">
      <c r="A315" s="1">
        <v>45240</v>
      </c>
      <c r="B315" t="s">
        <v>46</v>
      </c>
      <c r="C315">
        <v>2297</v>
      </c>
      <c r="D315">
        <v>57</v>
      </c>
      <c r="E315">
        <v>12</v>
      </c>
      <c r="F315">
        <v>135</v>
      </c>
      <c r="G315">
        <v>2.47E-2</v>
      </c>
      <c r="H315">
        <v>0.21759999999999999</v>
      </c>
      <c r="I315">
        <v>2.38</v>
      </c>
      <c r="J315" t="s">
        <v>47</v>
      </c>
      <c r="K315">
        <v>4561</v>
      </c>
      <c r="L315">
        <v>52</v>
      </c>
      <c r="M315">
        <v>4</v>
      </c>
      <c r="N315">
        <v>73</v>
      </c>
      <c r="O315">
        <v>1.14E-2</v>
      </c>
      <c r="P315">
        <v>6.9199999999999998E-2</v>
      </c>
      <c r="Q315">
        <v>1.4</v>
      </c>
    </row>
    <row r="316" spans="1:17" x14ac:dyDescent="0.3">
      <c r="A316" s="1">
        <v>45241</v>
      </c>
      <c r="B316" t="s">
        <v>46</v>
      </c>
      <c r="C316">
        <v>2912</v>
      </c>
      <c r="D316">
        <v>65</v>
      </c>
      <c r="E316">
        <v>16</v>
      </c>
      <c r="F316">
        <v>43</v>
      </c>
      <c r="G316">
        <v>2.2200000000000001E-2</v>
      </c>
      <c r="H316">
        <v>0.24629999999999999</v>
      </c>
      <c r="I316">
        <v>0.66</v>
      </c>
      <c r="J316" t="s">
        <v>47</v>
      </c>
      <c r="K316">
        <v>5432</v>
      </c>
      <c r="L316">
        <v>44</v>
      </c>
      <c r="M316">
        <v>4</v>
      </c>
      <c r="N316">
        <v>189</v>
      </c>
      <c r="O316">
        <v>8.0999999999999996E-3</v>
      </c>
      <c r="P316">
        <v>9.5699999999999993E-2</v>
      </c>
      <c r="Q316">
        <v>4.32</v>
      </c>
    </row>
    <row r="317" spans="1:17" x14ac:dyDescent="0.3">
      <c r="A317" s="1">
        <v>45242</v>
      </c>
      <c r="B317" t="s">
        <v>46</v>
      </c>
      <c r="C317">
        <v>1655</v>
      </c>
      <c r="D317">
        <v>61</v>
      </c>
      <c r="E317">
        <v>14</v>
      </c>
      <c r="F317">
        <v>38</v>
      </c>
      <c r="G317">
        <v>3.7100000000000001E-2</v>
      </c>
      <c r="H317">
        <v>0.2326</v>
      </c>
      <c r="I317">
        <v>0.61</v>
      </c>
      <c r="J317" t="s">
        <v>47</v>
      </c>
      <c r="K317">
        <v>4704</v>
      </c>
      <c r="L317">
        <v>44</v>
      </c>
      <c r="M317">
        <v>4</v>
      </c>
      <c r="N317">
        <v>174</v>
      </c>
      <c r="O317">
        <v>9.2999999999999992E-3</v>
      </c>
      <c r="P317">
        <v>9.5699999999999993E-2</v>
      </c>
      <c r="Q317">
        <v>3.96</v>
      </c>
    </row>
    <row r="318" spans="1:17" x14ac:dyDescent="0.3">
      <c r="A318" s="1">
        <v>45243</v>
      </c>
      <c r="B318" t="s">
        <v>46</v>
      </c>
      <c r="C318">
        <v>2377</v>
      </c>
      <c r="D318">
        <v>43</v>
      </c>
      <c r="E318">
        <v>11</v>
      </c>
      <c r="F318">
        <v>112</v>
      </c>
      <c r="G318">
        <v>1.8100000000000002E-2</v>
      </c>
      <c r="H318">
        <v>0.2465</v>
      </c>
      <c r="I318">
        <v>2.61</v>
      </c>
      <c r="J318" t="s">
        <v>47</v>
      </c>
      <c r="K318">
        <v>4493</v>
      </c>
      <c r="L318">
        <v>61</v>
      </c>
      <c r="M318">
        <v>5</v>
      </c>
      <c r="N318">
        <v>181</v>
      </c>
      <c r="O318">
        <v>1.35E-2</v>
      </c>
      <c r="P318">
        <v>8.2900000000000001E-2</v>
      </c>
      <c r="Q318">
        <v>2.99</v>
      </c>
    </row>
    <row r="319" spans="1:17" x14ac:dyDescent="0.3">
      <c r="A319" s="1">
        <v>45244</v>
      </c>
      <c r="B319" t="s">
        <v>46</v>
      </c>
      <c r="C319">
        <v>1272</v>
      </c>
      <c r="D319">
        <v>48</v>
      </c>
      <c r="E319">
        <v>12</v>
      </c>
      <c r="F319">
        <v>94</v>
      </c>
      <c r="G319">
        <v>3.73E-2</v>
      </c>
      <c r="H319">
        <v>0.24210000000000001</v>
      </c>
      <c r="I319">
        <v>1.99</v>
      </c>
      <c r="J319" t="s">
        <v>47</v>
      </c>
      <c r="K319">
        <v>5203</v>
      </c>
      <c r="L319">
        <v>84</v>
      </c>
      <c r="M319">
        <v>6</v>
      </c>
      <c r="N319">
        <v>95</v>
      </c>
      <c r="O319">
        <v>1.61E-2</v>
      </c>
      <c r="P319">
        <v>7.3899999999999993E-2</v>
      </c>
      <c r="Q319">
        <v>1.1299999999999999</v>
      </c>
    </row>
    <row r="320" spans="1:17" x14ac:dyDescent="0.3">
      <c r="A320" s="1">
        <v>45245</v>
      </c>
      <c r="B320" t="s">
        <v>46</v>
      </c>
      <c r="C320">
        <v>2725</v>
      </c>
      <c r="D320">
        <v>64</v>
      </c>
      <c r="E320">
        <v>17</v>
      </c>
      <c r="F320">
        <v>88</v>
      </c>
      <c r="G320">
        <v>2.3300000000000001E-2</v>
      </c>
      <c r="H320">
        <v>0.26290000000000002</v>
      </c>
      <c r="I320">
        <v>1.38</v>
      </c>
      <c r="J320" t="s">
        <v>47</v>
      </c>
      <c r="K320">
        <v>3816</v>
      </c>
      <c r="L320">
        <v>53</v>
      </c>
      <c r="M320">
        <v>7</v>
      </c>
      <c r="N320">
        <v>131</v>
      </c>
      <c r="O320">
        <v>1.4E-2</v>
      </c>
      <c r="P320">
        <v>0.1249</v>
      </c>
      <c r="Q320">
        <v>2.46</v>
      </c>
    </row>
    <row r="321" spans="1:17" x14ac:dyDescent="0.3">
      <c r="A321" s="1">
        <v>45246</v>
      </c>
      <c r="B321" t="s">
        <v>46</v>
      </c>
      <c r="C321">
        <v>2339</v>
      </c>
      <c r="D321">
        <v>37</v>
      </c>
      <c r="E321">
        <v>12</v>
      </c>
      <c r="F321">
        <v>106</v>
      </c>
      <c r="G321">
        <v>1.5800000000000002E-2</v>
      </c>
      <c r="H321">
        <v>0.33550000000000002</v>
      </c>
      <c r="I321">
        <v>2.88</v>
      </c>
      <c r="J321" t="s">
        <v>47</v>
      </c>
      <c r="K321">
        <v>4171</v>
      </c>
      <c r="L321">
        <v>60</v>
      </c>
      <c r="M321">
        <v>6</v>
      </c>
      <c r="N321">
        <v>172</v>
      </c>
      <c r="O321">
        <v>1.44E-2</v>
      </c>
      <c r="P321">
        <v>0.1</v>
      </c>
      <c r="Q321">
        <v>2.86</v>
      </c>
    </row>
    <row r="322" spans="1:17" x14ac:dyDescent="0.3">
      <c r="A322" s="1">
        <v>45247</v>
      </c>
      <c r="B322" t="s">
        <v>46</v>
      </c>
      <c r="C322">
        <v>1956</v>
      </c>
      <c r="D322">
        <v>51</v>
      </c>
      <c r="E322">
        <v>11</v>
      </c>
      <c r="F322">
        <v>80</v>
      </c>
      <c r="G322">
        <v>2.5899999999999999E-2</v>
      </c>
      <c r="H322">
        <v>0.21970000000000001</v>
      </c>
      <c r="I322">
        <v>1.59</v>
      </c>
      <c r="J322" t="s">
        <v>47</v>
      </c>
      <c r="K322">
        <v>3837</v>
      </c>
      <c r="L322">
        <v>79</v>
      </c>
      <c r="M322">
        <v>8</v>
      </c>
      <c r="N322">
        <v>126</v>
      </c>
      <c r="O322">
        <v>2.06E-2</v>
      </c>
      <c r="P322">
        <v>0.10059999999999999</v>
      </c>
      <c r="Q322">
        <v>1.59</v>
      </c>
    </row>
    <row r="323" spans="1:17" x14ac:dyDescent="0.3">
      <c r="A323" s="1">
        <v>45248</v>
      </c>
      <c r="B323" t="s">
        <v>46</v>
      </c>
      <c r="C323">
        <v>2681</v>
      </c>
      <c r="D323">
        <v>59</v>
      </c>
      <c r="E323">
        <v>14</v>
      </c>
      <c r="F323">
        <v>83</v>
      </c>
      <c r="G323">
        <v>2.1899999999999999E-2</v>
      </c>
      <c r="H323">
        <v>0.23400000000000001</v>
      </c>
      <c r="I323">
        <v>1.41</v>
      </c>
      <c r="J323" t="s">
        <v>47</v>
      </c>
      <c r="K323">
        <v>4892</v>
      </c>
      <c r="L323">
        <v>85</v>
      </c>
      <c r="M323">
        <v>8</v>
      </c>
      <c r="N323">
        <v>130</v>
      </c>
      <c r="O323">
        <v>1.7399999999999999E-2</v>
      </c>
      <c r="P323">
        <v>9.7100000000000006E-2</v>
      </c>
      <c r="Q323">
        <v>1.53</v>
      </c>
    </row>
    <row r="324" spans="1:17" x14ac:dyDescent="0.3">
      <c r="A324" s="1">
        <v>45249</v>
      </c>
      <c r="B324" t="s">
        <v>46</v>
      </c>
      <c r="C324">
        <v>2919</v>
      </c>
      <c r="D324">
        <v>59</v>
      </c>
      <c r="E324">
        <v>16</v>
      </c>
      <c r="F324">
        <v>103</v>
      </c>
      <c r="G324">
        <v>2.0199999999999999E-2</v>
      </c>
      <c r="H324">
        <v>0.26779999999999998</v>
      </c>
      <c r="I324">
        <v>1.74</v>
      </c>
      <c r="J324" t="s">
        <v>47</v>
      </c>
      <c r="K324">
        <v>5701</v>
      </c>
      <c r="L324">
        <v>74</v>
      </c>
      <c r="M324">
        <v>8</v>
      </c>
      <c r="N324">
        <v>86</v>
      </c>
      <c r="O324">
        <v>1.2999999999999999E-2</v>
      </c>
      <c r="P324">
        <v>0.1041</v>
      </c>
      <c r="Q324">
        <v>1.1599999999999999</v>
      </c>
    </row>
    <row r="325" spans="1:17" x14ac:dyDescent="0.3">
      <c r="A325" s="1">
        <v>45250</v>
      </c>
      <c r="B325" t="s">
        <v>46</v>
      </c>
      <c r="C325">
        <v>1404</v>
      </c>
      <c r="D325">
        <v>34</v>
      </c>
      <c r="E325">
        <v>9</v>
      </c>
      <c r="F325">
        <v>91</v>
      </c>
      <c r="G325">
        <v>2.41E-2</v>
      </c>
      <c r="H325">
        <v>0.25900000000000001</v>
      </c>
      <c r="I325">
        <v>2.68</v>
      </c>
      <c r="J325" t="s">
        <v>47</v>
      </c>
      <c r="K325">
        <v>5067</v>
      </c>
      <c r="L325">
        <v>69</v>
      </c>
      <c r="M325">
        <v>5</v>
      </c>
      <c r="N325">
        <v>197</v>
      </c>
      <c r="O325">
        <v>1.37E-2</v>
      </c>
      <c r="P325">
        <v>7.8799999999999995E-2</v>
      </c>
      <c r="Q325">
        <v>2.84</v>
      </c>
    </row>
    <row r="326" spans="1:17" x14ac:dyDescent="0.3">
      <c r="A326" s="1">
        <v>45251</v>
      </c>
      <c r="B326" t="s">
        <v>46</v>
      </c>
      <c r="C326">
        <v>1455</v>
      </c>
      <c r="D326">
        <v>57</v>
      </c>
      <c r="E326">
        <v>12</v>
      </c>
      <c r="F326">
        <v>76</v>
      </c>
      <c r="G326">
        <v>3.9300000000000002E-2</v>
      </c>
      <c r="H326">
        <v>0.2175</v>
      </c>
      <c r="I326">
        <v>1.34</v>
      </c>
      <c r="J326" t="s">
        <v>47</v>
      </c>
      <c r="K326">
        <v>3825</v>
      </c>
      <c r="L326">
        <v>51</v>
      </c>
      <c r="M326">
        <v>5</v>
      </c>
      <c r="N326">
        <v>114</v>
      </c>
      <c r="O326">
        <v>1.32E-2</v>
      </c>
      <c r="P326">
        <v>8.9499999999999996E-2</v>
      </c>
      <c r="Q326">
        <v>2.25</v>
      </c>
    </row>
    <row r="327" spans="1:17" x14ac:dyDescent="0.3">
      <c r="A327" s="1">
        <v>45252</v>
      </c>
      <c r="B327" t="s">
        <v>46</v>
      </c>
      <c r="C327">
        <v>2134</v>
      </c>
      <c r="D327">
        <v>36</v>
      </c>
      <c r="E327">
        <v>10</v>
      </c>
      <c r="F327">
        <v>72</v>
      </c>
      <c r="G327">
        <v>1.66E-2</v>
      </c>
      <c r="H327">
        <v>0.28449999999999998</v>
      </c>
      <c r="I327">
        <v>2.04</v>
      </c>
      <c r="J327" t="s">
        <v>47</v>
      </c>
      <c r="K327">
        <v>4358</v>
      </c>
      <c r="L327">
        <v>51</v>
      </c>
      <c r="M327">
        <v>6</v>
      </c>
      <c r="N327">
        <v>187</v>
      </c>
      <c r="O327">
        <v>1.18E-2</v>
      </c>
      <c r="P327">
        <v>0.10829999999999999</v>
      </c>
      <c r="Q327">
        <v>3.63</v>
      </c>
    </row>
    <row r="328" spans="1:17" x14ac:dyDescent="0.3">
      <c r="A328" s="1">
        <v>45253</v>
      </c>
      <c r="B328" t="s">
        <v>46</v>
      </c>
      <c r="C328">
        <v>2523</v>
      </c>
      <c r="D328">
        <v>57</v>
      </c>
      <c r="E328">
        <v>16</v>
      </c>
      <c r="F328">
        <v>125</v>
      </c>
      <c r="G328">
        <v>2.2499999999999999E-2</v>
      </c>
      <c r="H328">
        <v>0.28799999999999998</v>
      </c>
      <c r="I328">
        <v>2.19</v>
      </c>
      <c r="J328" t="s">
        <v>47</v>
      </c>
      <c r="K328">
        <v>4019</v>
      </c>
      <c r="L328">
        <v>81</v>
      </c>
      <c r="M328">
        <v>8</v>
      </c>
      <c r="N328">
        <v>87</v>
      </c>
      <c r="O328">
        <v>2.0199999999999999E-2</v>
      </c>
      <c r="P328">
        <v>9.9299999999999999E-2</v>
      </c>
      <c r="Q328">
        <v>1.07</v>
      </c>
    </row>
    <row r="329" spans="1:17" x14ac:dyDescent="0.3">
      <c r="A329" s="1">
        <v>45254</v>
      </c>
      <c r="B329" t="s">
        <v>46</v>
      </c>
      <c r="C329">
        <v>3000</v>
      </c>
      <c r="D329">
        <v>55</v>
      </c>
      <c r="E329">
        <v>16</v>
      </c>
      <c r="F329">
        <v>60</v>
      </c>
      <c r="G329">
        <v>1.8499999999999999E-2</v>
      </c>
      <c r="H329">
        <v>0.2903</v>
      </c>
      <c r="I329">
        <v>1.0900000000000001</v>
      </c>
      <c r="J329" t="s">
        <v>47</v>
      </c>
      <c r="K329">
        <v>5525</v>
      </c>
      <c r="L329">
        <v>70</v>
      </c>
      <c r="M329">
        <v>7</v>
      </c>
      <c r="N329">
        <v>142</v>
      </c>
      <c r="O329">
        <v>1.26E-2</v>
      </c>
      <c r="P329">
        <v>0.1075</v>
      </c>
      <c r="Q329">
        <v>2.0299999999999998</v>
      </c>
    </row>
    <row r="330" spans="1:17" x14ac:dyDescent="0.3">
      <c r="A330" s="1">
        <v>45255</v>
      </c>
      <c r="B330" t="s">
        <v>46</v>
      </c>
      <c r="C330">
        <v>2489</v>
      </c>
      <c r="D330">
        <v>32</v>
      </c>
      <c r="E330">
        <v>8</v>
      </c>
      <c r="F330">
        <v>59</v>
      </c>
      <c r="G330">
        <v>1.29E-2</v>
      </c>
      <c r="H330">
        <v>0.2621</v>
      </c>
      <c r="I330">
        <v>1.82</v>
      </c>
      <c r="J330" t="s">
        <v>47</v>
      </c>
      <c r="K330">
        <v>5011</v>
      </c>
      <c r="L330">
        <v>58</v>
      </c>
      <c r="M330">
        <v>5</v>
      </c>
      <c r="N330">
        <v>128</v>
      </c>
      <c r="O330">
        <v>1.1599999999999999E-2</v>
      </c>
      <c r="P330">
        <v>8.4500000000000006E-2</v>
      </c>
      <c r="Q330">
        <v>2.21</v>
      </c>
    </row>
    <row r="331" spans="1:17" x14ac:dyDescent="0.3">
      <c r="A331" s="1">
        <v>45256</v>
      </c>
      <c r="B331" t="s">
        <v>46</v>
      </c>
      <c r="C331">
        <v>1936</v>
      </c>
      <c r="D331">
        <v>56</v>
      </c>
      <c r="E331">
        <v>12</v>
      </c>
      <c r="F331">
        <v>142</v>
      </c>
      <c r="G331">
        <v>2.8899999999999999E-2</v>
      </c>
      <c r="H331">
        <v>0.21790000000000001</v>
      </c>
      <c r="I331">
        <v>2.5299999999999998</v>
      </c>
      <c r="J331" t="s">
        <v>47</v>
      </c>
      <c r="K331">
        <v>4646</v>
      </c>
      <c r="L331">
        <v>77</v>
      </c>
      <c r="M331">
        <v>5</v>
      </c>
      <c r="N331">
        <v>187</v>
      </c>
      <c r="O331">
        <v>1.66E-2</v>
      </c>
      <c r="P331">
        <v>6.3E-2</v>
      </c>
      <c r="Q331">
        <v>2.42</v>
      </c>
    </row>
    <row r="332" spans="1:17" x14ac:dyDescent="0.3">
      <c r="A332" s="1">
        <v>45257</v>
      </c>
      <c r="B332" t="s">
        <v>46</v>
      </c>
      <c r="C332">
        <v>1960</v>
      </c>
      <c r="D332">
        <v>68</v>
      </c>
      <c r="E332">
        <v>15</v>
      </c>
      <c r="F332">
        <v>109</v>
      </c>
      <c r="G332">
        <v>3.4500000000000003E-2</v>
      </c>
      <c r="H332">
        <v>0.21479999999999999</v>
      </c>
      <c r="I332">
        <v>1.61</v>
      </c>
      <c r="J332" t="s">
        <v>47</v>
      </c>
      <c r="K332">
        <v>4721</v>
      </c>
      <c r="L332">
        <v>58</v>
      </c>
      <c r="M332">
        <v>8</v>
      </c>
      <c r="N332">
        <v>162</v>
      </c>
      <c r="O332">
        <v>1.23E-2</v>
      </c>
      <c r="P332">
        <v>0.13600000000000001</v>
      </c>
      <c r="Q332">
        <v>2.79</v>
      </c>
    </row>
    <row r="333" spans="1:17" x14ac:dyDescent="0.3">
      <c r="A333" s="1">
        <v>45258</v>
      </c>
      <c r="B333" t="s">
        <v>46</v>
      </c>
      <c r="C333">
        <v>2821</v>
      </c>
      <c r="D333">
        <v>49</v>
      </c>
      <c r="E333">
        <v>11</v>
      </c>
      <c r="F333">
        <v>55</v>
      </c>
      <c r="G333">
        <v>1.7500000000000002E-2</v>
      </c>
      <c r="H333">
        <v>0.2203</v>
      </c>
      <c r="I333">
        <v>1.1200000000000001</v>
      </c>
      <c r="J333" t="s">
        <v>47</v>
      </c>
      <c r="K333">
        <v>4151</v>
      </c>
      <c r="L333">
        <v>46</v>
      </c>
      <c r="M333">
        <v>3</v>
      </c>
      <c r="N333">
        <v>119</v>
      </c>
      <c r="O333">
        <v>1.0999999999999999E-2</v>
      </c>
      <c r="P333">
        <v>7.1900000000000006E-2</v>
      </c>
      <c r="Q333">
        <v>2.6</v>
      </c>
    </row>
    <row r="334" spans="1:17" x14ac:dyDescent="0.3">
      <c r="A334" s="1">
        <v>45259</v>
      </c>
      <c r="B334" t="s">
        <v>46</v>
      </c>
      <c r="C334">
        <v>2040</v>
      </c>
      <c r="D334">
        <v>40</v>
      </c>
      <c r="E334">
        <v>11</v>
      </c>
      <c r="F334">
        <v>64</v>
      </c>
      <c r="G334">
        <v>1.9800000000000002E-2</v>
      </c>
      <c r="H334">
        <v>0.27429999999999999</v>
      </c>
      <c r="I334">
        <v>1.59</v>
      </c>
      <c r="J334" t="s">
        <v>47</v>
      </c>
      <c r="K334">
        <v>5211</v>
      </c>
      <c r="L334">
        <v>41</v>
      </c>
      <c r="M334">
        <v>7</v>
      </c>
      <c r="N334">
        <v>159</v>
      </c>
      <c r="O334">
        <v>7.7999999999999996E-3</v>
      </c>
      <c r="P334">
        <v>0.1724</v>
      </c>
      <c r="Q334">
        <v>3.89</v>
      </c>
    </row>
    <row r="335" spans="1:17" x14ac:dyDescent="0.3">
      <c r="A335" s="1">
        <v>45260</v>
      </c>
      <c r="B335" t="s">
        <v>46</v>
      </c>
      <c r="C335">
        <v>2114</v>
      </c>
      <c r="D335">
        <v>56</v>
      </c>
      <c r="E335">
        <v>13</v>
      </c>
      <c r="F335">
        <v>71</v>
      </c>
      <c r="G335">
        <v>2.6700000000000002E-2</v>
      </c>
      <c r="H335">
        <v>0.23549999999999999</v>
      </c>
      <c r="I335">
        <v>1.26</v>
      </c>
      <c r="J335" t="s">
        <v>47</v>
      </c>
      <c r="K335">
        <v>4983</v>
      </c>
      <c r="L335">
        <v>68</v>
      </c>
      <c r="M335">
        <v>5</v>
      </c>
      <c r="N335">
        <v>103</v>
      </c>
      <c r="O335">
        <v>1.3599999999999999E-2</v>
      </c>
      <c r="P335">
        <v>7.9600000000000004E-2</v>
      </c>
      <c r="Q335">
        <v>1.52</v>
      </c>
    </row>
    <row r="336" spans="1:17" x14ac:dyDescent="0.3">
      <c r="A336" s="1">
        <v>45261</v>
      </c>
      <c r="B336" t="s">
        <v>48</v>
      </c>
      <c r="C336">
        <v>1669</v>
      </c>
      <c r="D336">
        <v>59</v>
      </c>
      <c r="E336">
        <v>17</v>
      </c>
      <c r="F336">
        <v>66</v>
      </c>
      <c r="G336">
        <v>3.5099999999999999E-2</v>
      </c>
      <c r="H336">
        <v>0.28549999999999998</v>
      </c>
      <c r="I336">
        <v>1.1399999999999999</v>
      </c>
      <c r="J336" t="s">
        <v>49</v>
      </c>
      <c r="K336">
        <v>4597</v>
      </c>
      <c r="L336">
        <v>67</v>
      </c>
      <c r="M336">
        <v>5</v>
      </c>
      <c r="N336">
        <v>166</v>
      </c>
      <c r="O336">
        <v>1.4500000000000001E-2</v>
      </c>
      <c r="P336">
        <v>0.08</v>
      </c>
      <c r="Q336">
        <v>2.4900000000000002</v>
      </c>
    </row>
    <row r="337" spans="1:17" x14ac:dyDescent="0.3">
      <c r="A337" s="1">
        <v>45262</v>
      </c>
      <c r="B337" t="s">
        <v>48</v>
      </c>
      <c r="C337">
        <v>2770</v>
      </c>
      <c r="D337">
        <v>37</v>
      </c>
      <c r="E337">
        <v>11</v>
      </c>
      <c r="F337">
        <v>99</v>
      </c>
      <c r="G337">
        <v>1.32E-2</v>
      </c>
      <c r="H337">
        <v>0.309</v>
      </c>
      <c r="I337">
        <v>2.71</v>
      </c>
      <c r="J337" t="s">
        <v>49</v>
      </c>
      <c r="K337">
        <v>4870</v>
      </c>
      <c r="L337">
        <v>45</v>
      </c>
      <c r="M337">
        <v>3</v>
      </c>
      <c r="N337">
        <v>131</v>
      </c>
      <c r="O337">
        <v>9.2999999999999992E-3</v>
      </c>
      <c r="P337">
        <v>7.1999999999999995E-2</v>
      </c>
      <c r="Q337">
        <v>2.88</v>
      </c>
    </row>
    <row r="338" spans="1:17" x14ac:dyDescent="0.3">
      <c r="A338" s="1">
        <v>45263</v>
      </c>
      <c r="B338" t="s">
        <v>48</v>
      </c>
      <c r="C338">
        <v>2496</v>
      </c>
      <c r="D338">
        <v>67</v>
      </c>
      <c r="E338">
        <v>18</v>
      </c>
      <c r="F338">
        <v>99</v>
      </c>
      <c r="G338">
        <v>2.6800000000000001E-2</v>
      </c>
      <c r="H338">
        <v>0.2747</v>
      </c>
      <c r="I338">
        <v>1.47</v>
      </c>
      <c r="J338" t="s">
        <v>49</v>
      </c>
      <c r="K338">
        <v>5171</v>
      </c>
      <c r="L338">
        <v>42</v>
      </c>
      <c r="M338">
        <v>6</v>
      </c>
      <c r="N338">
        <v>92</v>
      </c>
      <c r="O338">
        <v>8.0999999999999996E-3</v>
      </c>
      <c r="P338">
        <v>0.14599999999999999</v>
      </c>
      <c r="Q338">
        <v>2.21</v>
      </c>
    </row>
    <row r="339" spans="1:17" x14ac:dyDescent="0.3">
      <c r="A339" s="1">
        <v>45264</v>
      </c>
      <c r="B339" t="s">
        <v>48</v>
      </c>
      <c r="C339">
        <v>2428</v>
      </c>
      <c r="D339">
        <v>36</v>
      </c>
      <c r="E339">
        <v>9</v>
      </c>
      <c r="F339">
        <v>142</v>
      </c>
      <c r="G339">
        <v>1.49E-2</v>
      </c>
      <c r="H339">
        <v>0.25519999999999998</v>
      </c>
      <c r="I339">
        <v>3.92</v>
      </c>
      <c r="J339" t="s">
        <v>49</v>
      </c>
      <c r="K339">
        <v>4823</v>
      </c>
      <c r="L339">
        <v>50</v>
      </c>
      <c r="M339">
        <v>5</v>
      </c>
      <c r="N339">
        <v>112</v>
      </c>
      <c r="O339">
        <v>1.04E-2</v>
      </c>
      <c r="P339">
        <v>8.9800000000000005E-2</v>
      </c>
      <c r="Q339">
        <v>2.23</v>
      </c>
    </row>
    <row r="340" spans="1:17" x14ac:dyDescent="0.3">
      <c r="A340" s="1">
        <v>45265</v>
      </c>
      <c r="B340" t="s">
        <v>48</v>
      </c>
      <c r="C340">
        <v>1686</v>
      </c>
      <c r="D340">
        <v>33</v>
      </c>
      <c r="E340">
        <v>8</v>
      </c>
      <c r="F340">
        <v>112</v>
      </c>
      <c r="G340">
        <v>1.95E-2</v>
      </c>
      <c r="H340">
        <v>0.23039999999999999</v>
      </c>
      <c r="I340">
        <v>3.4</v>
      </c>
      <c r="J340" t="s">
        <v>49</v>
      </c>
      <c r="K340">
        <v>5370</v>
      </c>
      <c r="L340">
        <v>75</v>
      </c>
      <c r="M340">
        <v>9</v>
      </c>
      <c r="N340">
        <v>82</v>
      </c>
      <c r="O340">
        <v>1.3899999999999999E-2</v>
      </c>
      <c r="P340">
        <v>0.1171</v>
      </c>
      <c r="Q340">
        <v>1.1000000000000001</v>
      </c>
    </row>
    <row r="341" spans="1:17" x14ac:dyDescent="0.3">
      <c r="A341" s="1">
        <v>45266</v>
      </c>
      <c r="B341" t="s">
        <v>48</v>
      </c>
      <c r="C341">
        <v>2314</v>
      </c>
      <c r="D341">
        <v>37</v>
      </c>
      <c r="E341">
        <v>10</v>
      </c>
      <c r="F341">
        <v>52</v>
      </c>
      <c r="G341">
        <v>1.5800000000000002E-2</v>
      </c>
      <c r="H341">
        <v>0.28199999999999997</v>
      </c>
      <c r="I341">
        <v>1.43</v>
      </c>
      <c r="J341" t="s">
        <v>49</v>
      </c>
      <c r="K341">
        <v>4406</v>
      </c>
      <c r="L341">
        <v>59</v>
      </c>
      <c r="M341">
        <v>6</v>
      </c>
      <c r="N341">
        <v>98</v>
      </c>
      <c r="O341">
        <v>1.34E-2</v>
      </c>
      <c r="P341">
        <v>0.1008</v>
      </c>
      <c r="Q341">
        <v>1.66</v>
      </c>
    </row>
    <row r="342" spans="1:17" x14ac:dyDescent="0.3">
      <c r="A342" s="1">
        <v>45267</v>
      </c>
      <c r="B342" t="s">
        <v>48</v>
      </c>
      <c r="C342">
        <v>2386</v>
      </c>
      <c r="D342">
        <v>45</v>
      </c>
      <c r="E342">
        <v>12</v>
      </c>
      <c r="F342">
        <v>126</v>
      </c>
      <c r="G342">
        <v>1.9E-2</v>
      </c>
      <c r="H342">
        <v>0.2661</v>
      </c>
      <c r="I342">
        <v>2.76</v>
      </c>
      <c r="J342" t="s">
        <v>49</v>
      </c>
      <c r="K342">
        <v>5321</v>
      </c>
      <c r="L342">
        <v>70</v>
      </c>
      <c r="M342">
        <v>5</v>
      </c>
      <c r="N342">
        <v>135</v>
      </c>
      <c r="O342">
        <v>1.32E-2</v>
      </c>
      <c r="P342">
        <v>6.4299999999999996E-2</v>
      </c>
      <c r="Q342">
        <v>1.93</v>
      </c>
    </row>
    <row r="343" spans="1:17" x14ac:dyDescent="0.3">
      <c r="A343" s="1">
        <v>45268</v>
      </c>
      <c r="B343" t="s">
        <v>48</v>
      </c>
      <c r="C343">
        <v>2675</v>
      </c>
      <c r="D343">
        <v>67</v>
      </c>
      <c r="E343">
        <v>15</v>
      </c>
      <c r="F343">
        <v>117</v>
      </c>
      <c r="G343">
        <v>2.4899999999999999E-2</v>
      </c>
      <c r="H343">
        <v>0.23</v>
      </c>
      <c r="I343">
        <v>1.76</v>
      </c>
      <c r="J343" t="s">
        <v>49</v>
      </c>
      <c r="K343">
        <v>4837</v>
      </c>
      <c r="L343">
        <v>44</v>
      </c>
      <c r="M343">
        <v>3</v>
      </c>
      <c r="N343">
        <v>177</v>
      </c>
      <c r="O343">
        <v>8.9999999999999993E-3</v>
      </c>
      <c r="P343">
        <v>7.2900000000000006E-2</v>
      </c>
      <c r="Q343">
        <v>4.04</v>
      </c>
    </row>
    <row r="344" spans="1:17" x14ac:dyDescent="0.3">
      <c r="A344" s="1">
        <v>45269</v>
      </c>
      <c r="B344" t="s">
        <v>48</v>
      </c>
      <c r="C344">
        <v>2874</v>
      </c>
      <c r="D344">
        <v>36</v>
      </c>
      <c r="E344">
        <v>9</v>
      </c>
      <c r="F344">
        <v>121</v>
      </c>
      <c r="G344">
        <v>1.24E-2</v>
      </c>
      <c r="H344">
        <v>0.25600000000000001</v>
      </c>
      <c r="I344">
        <v>3.38</v>
      </c>
      <c r="J344" t="s">
        <v>49</v>
      </c>
      <c r="K344">
        <v>4022</v>
      </c>
      <c r="L344">
        <v>85</v>
      </c>
      <c r="M344">
        <v>7</v>
      </c>
      <c r="N344">
        <v>186</v>
      </c>
      <c r="O344">
        <v>2.1100000000000001E-2</v>
      </c>
      <c r="P344">
        <v>8.5300000000000001E-2</v>
      </c>
      <c r="Q344">
        <v>2.19</v>
      </c>
    </row>
    <row r="345" spans="1:17" x14ac:dyDescent="0.3">
      <c r="A345" s="1">
        <v>45270</v>
      </c>
      <c r="B345" t="s">
        <v>48</v>
      </c>
      <c r="C345">
        <v>1556</v>
      </c>
      <c r="D345">
        <v>67</v>
      </c>
      <c r="E345">
        <v>14</v>
      </c>
      <c r="F345">
        <v>102</v>
      </c>
      <c r="G345">
        <v>4.3299999999999998E-2</v>
      </c>
      <c r="H345">
        <v>0.21479999999999999</v>
      </c>
      <c r="I345">
        <v>1.51</v>
      </c>
      <c r="J345" t="s">
        <v>49</v>
      </c>
      <c r="K345">
        <v>4718</v>
      </c>
      <c r="L345">
        <v>31</v>
      </c>
      <c r="M345">
        <v>4</v>
      </c>
      <c r="N345">
        <v>139</v>
      </c>
      <c r="O345">
        <v>6.6E-3</v>
      </c>
      <c r="P345">
        <v>0.11409999999999999</v>
      </c>
      <c r="Q345">
        <v>4.46</v>
      </c>
    </row>
    <row r="346" spans="1:17" x14ac:dyDescent="0.3">
      <c r="A346" s="1">
        <v>45271</v>
      </c>
      <c r="B346" t="s">
        <v>48</v>
      </c>
      <c r="C346">
        <v>2281</v>
      </c>
      <c r="D346">
        <v>61</v>
      </c>
      <c r="E346">
        <v>15</v>
      </c>
      <c r="F346">
        <v>60</v>
      </c>
      <c r="G346">
        <v>2.6700000000000002E-2</v>
      </c>
      <c r="H346">
        <v>0.2492</v>
      </c>
      <c r="I346">
        <v>0.98</v>
      </c>
      <c r="J346" t="s">
        <v>49</v>
      </c>
      <c r="K346">
        <v>5335</v>
      </c>
      <c r="L346">
        <v>50</v>
      </c>
      <c r="M346">
        <v>5</v>
      </c>
      <c r="N346">
        <v>148</v>
      </c>
      <c r="O346">
        <v>9.2999999999999992E-3</v>
      </c>
      <c r="P346">
        <v>0.1104</v>
      </c>
      <c r="Q346">
        <v>2.97</v>
      </c>
    </row>
    <row r="347" spans="1:17" x14ac:dyDescent="0.3">
      <c r="A347" s="1">
        <v>45272</v>
      </c>
      <c r="B347" t="s">
        <v>48</v>
      </c>
      <c r="C347">
        <v>1419</v>
      </c>
      <c r="D347">
        <v>53</v>
      </c>
      <c r="E347">
        <v>13</v>
      </c>
      <c r="F347">
        <v>56</v>
      </c>
      <c r="G347">
        <v>3.6999999999999998E-2</v>
      </c>
      <c r="H347">
        <v>0.23810000000000001</v>
      </c>
      <c r="I347">
        <v>1.06</v>
      </c>
      <c r="J347" t="s">
        <v>49</v>
      </c>
      <c r="K347">
        <v>5167</v>
      </c>
      <c r="L347">
        <v>54</v>
      </c>
      <c r="M347">
        <v>4</v>
      </c>
      <c r="N347">
        <v>145</v>
      </c>
      <c r="O347">
        <v>1.0500000000000001E-2</v>
      </c>
      <c r="P347">
        <v>6.8500000000000005E-2</v>
      </c>
      <c r="Q347">
        <v>2.68</v>
      </c>
    </row>
    <row r="348" spans="1:17" x14ac:dyDescent="0.3">
      <c r="A348" s="1">
        <v>45273</v>
      </c>
      <c r="B348" t="s">
        <v>48</v>
      </c>
      <c r="C348">
        <v>1213</v>
      </c>
      <c r="D348">
        <v>64</v>
      </c>
      <c r="E348">
        <v>14</v>
      </c>
      <c r="F348">
        <v>142</v>
      </c>
      <c r="G348">
        <v>5.2900000000000003E-2</v>
      </c>
      <c r="H348">
        <v>0.21560000000000001</v>
      </c>
      <c r="I348">
        <v>2.21</v>
      </c>
      <c r="J348" t="s">
        <v>49</v>
      </c>
      <c r="K348">
        <v>5190</v>
      </c>
      <c r="L348">
        <v>55</v>
      </c>
      <c r="M348">
        <v>7</v>
      </c>
      <c r="N348">
        <v>148</v>
      </c>
      <c r="O348">
        <v>1.06E-2</v>
      </c>
      <c r="P348">
        <v>0.1225</v>
      </c>
      <c r="Q348">
        <v>2.68</v>
      </c>
    </row>
    <row r="349" spans="1:17" x14ac:dyDescent="0.3">
      <c r="A349" s="1">
        <v>45274</v>
      </c>
      <c r="B349" t="s">
        <v>48</v>
      </c>
      <c r="C349">
        <v>1140</v>
      </c>
      <c r="D349">
        <v>46</v>
      </c>
      <c r="E349">
        <v>13</v>
      </c>
      <c r="F349">
        <v>46</v>
      </c>
      <c r="G349">
        <v>3.9899999999999998E-2</v>
      </c>
      <c r="H349">
        <v>0.28789999999999999</v>
      </c>
      <c r="I349">
        <v>1</v>
      </c>
      <c r="J349" t="s">
        <v>49</v>
      </c>
      <c r="K349">
        <v>4786</v>
      </c>
      <c r="L349">
        <v>59</v>
      </c>
      <c r="M349">
        <v>5</v>
      </c>
      <c r="N349">
        <v>97</v>
      </c>
      <c r="O349">
        <v>1.23E-2</v>
      </c>
      <c r="P349">
        <v>8.4000000000000005E-2</v>
      </c>
      <c r="Q349">
        <v>1.65</v>
      </c>
    </row>
    <row r="350" spans="1:17" x14ac:dyDescent="0.3">
      <c r="A350" s="1">
        <v>45275</v>
      </c>
      <c r="B350" t="s">
        <v>48</v>
      </c>
      <c r="C350">
        <v>2247</v>
      </c>
      <c r="D350">
        <v>45</v>
      </c>
      <c r="E350">
        <v>11</v>
      </c>
      <c r="F350">
        <v>129</v>
      </c>
      <c r="G350">
        <v>0.02</v>
      </c>
      <c r="H350">
        <v>0.24440000000000001</v>
      </c>
      <c r="I350">
        <v>2.86</v>
      </c>
      <c r="J350" t="s">
        <v>49</v>
      </c>
      <c r="K350">
        <v>5500</v>
      </c>
      <c r="L350">
        <v>77</v>
      </c>
      <c r="M350">
        <v>5</v>
      </c>
      <c r="N350">
        <v>101</v>
      </c>
      <c r="O350">
        <v>1.4E-2</v>
      </c>
      <c r="P350">
        <v>6.3E-2</v>
      </c>
      <c r="Q350">
        <v>1.31</v>
      </c>
    </row>
    <row r="351" spans="1:17" x14ac:dyDescent="0.3">
      <c r="A351" s="1">
        <v>45276</v>
      </c>
      <c r="B351" t="s">
        <v>48</v>
      </c>
      <c r="C351">
        <v>2930</v>
      </c>
      <c r="D351">
        <v>72</v>
      </c>
      <c r="E351">
        <v>16</v>
      </c>
      <c r="F351">
        <v>124</v>
      </c>
      <c r="G351">
        <v>2.46E-2</v>
      </c>
      <c r="H351">
        <v>0.22770000000000001</v>
      </c>
      <c r="I351">
        <v>1.72</v>
      </c>
      <c r="J351" t="s">
        <v>49</v>
      </c>
      <c r="K351">
        <v>4089</v>
      </c>
      <c r="L351">
        <v>89</v>
      </c>
      <c r="M351">
        <v>5</v>
      </c>
      <c r="N351">
        <v>118</v>
      </c>
      <c r="O351">
        <v>2.1700000000000001E-2</v>
      </c>
      <c r="P351">
        <v>6.13E-2</v>
      </c>
      <c r="Q351">
        <v>1.33</v>
      </c>
    </row>
    <row r="352" spans="1:17" x14ac:dyDescent="0.3">
      <c r="A352" s="1">
        <v>45277</v>
      </c>
      <c r="B352" t="s">
        <v>48</v>
      </c>
      <c r="C352">
        <v>3060</v>
      </c>
      <c r="D352">
        <v>40</v>
      </c>
      <c r="E352">
        <v>11</v>
      </c>
      <c r="F352">
        <v>84</v>
      </c>
      <c r="G352">
        <v>1.3100000000000001E-2</v>
      </c>
      <c r="H352">
        <v>0.27460000000000001</v>
      </c>
      <c r="I352">
        <v>2.08</v>
      </c>
      <c r="J352" t="s">
        <v>49</v>
      </c>
      <c r="K352">
        <v>5468</v>
      </c>
      <c r="L352">
        <v>64</v>
      </c>
      <c r="M352">
        <v>6</v>
      </c>
      <c r="N352">
        <v>166</v>
      </c>
      <c r="O352">
        <v>1.17E-2</v>
      </c>
      <c r="P352">
        <v>9.7000000000000003E-2</v>
      </c>
      <c r="Q352">
        <v>2.59</v>
      </c>
    </row>
    <row r="353" spans="1:17" x14ac:dyDescent="0.3">
      <c r="A353" s="1">
        <v>45278</v>
      </c>
      <c r="B353" t="s">
        <v>48</v>
      </c>
      <c r="C353">
        <v>2030</v>
      </c>
      <c r="D353">
        <v>54</v>
      </c>
      <c r="E353">
        <v>13</v>
      </c>
      <c r="F353">
        <v>122</v>
      </c>
      <c r="G353">
        <v>2.6800000000000001E-2</v>
      </c>
      <c r="H353">
        <v>0.23680000000000001</v>
      </c>
      <c r="I353">
        <v>2.25</v>
      </c>
      <c r="J353" t="s">
        <v>49</v>
      </c>
      <c r="K353">
        <v>5461</v>
      </c>
      <c r="L353">
        <v>57</v>
      </c>
      <c r="M353">
        <v>5</v>
      </c>
      <c r="N353">
        <v>130</v>
      </c>
      <c r="O353">
        <v>1.0500000000000001E-2</v>
      </c>
      <c r="P353">
        <v>8.4900000000000003E-2</v>
      </c>
      <c r="Q353">
        <v>2.27</v>
      </c>
    </row>
    <row r="354" spans="1:17" x14ac:dyDescent="0.3">
      <c r="A354" s="1">
        <v>45279</v>
      </c>
      <c r="B354" t="s">
        <v>48</v>
      </c>
      <c r="C354">
        <v>3116</v>
      </c>
      <c r="D354">
        <v>58</v>
      </c>
      <c r="E354">
        <v>13</v>
      </c>
      <c r="F354">
        <v>135</v>
      </c>
      <c r="G354">
        <v>1.8700000000000001E-2</v>
      </c>
      <c r="H354">
        <v>0.2172</v>
      </c>
      <c r="I354">
        <v>2.31</v>
      </c>
      <c r="J354" t="s">
        <v>49</v>
      </c>
      <c r="K354">
        <v>4993</v>
      </c>
      <c r="L354">
        <v>74</v>
      </c>
      <c r="M354">
        <v>7</v>
      </c>
      <c r="N354">
        <v>150</v>
      </c>
      <c r="O354">
        <v>1.49E-2</v>
      </c>
      <c r="P354">
        <v>9.0499999999999997E-2</v>
      </c>
      <c r="Q354">
        <v>2.02</v>
      </c>
    </row>
    <row r="355" spans="1:17" x14ac:dyDescent="0.3">
      <c r="A355" s="1">
        <v>45280</v>
      </c>
      <c r="B355" t="s">
        <v>48</v>
      </c>
      <c r="C355">
        <v>2478</v>
      </c>
      <c r="D355">
        <v>39</v>
      </c>
      <c r="E355">
        <v>12</v>
      </c>
      <c r="F355">
        <v>50</v>
      </c>
      <c r="G355">
        <v>1.55E-2</v>
      </c>
      <c r="H355">
        <v>0.3039</v>
      </c>
      <c r="I355">
        <v>1.31</v>
      </c>
      <c r="J355" t="s">
        <v>49</v>
      </c>
      <c r="K355">
        <v>5760</v>
      </c>
      <c r="L355">
        <v>59</v>
      </c>
      <c r="M355">
        <v>7</v>
      </c>
      <c r="N355">
        <v>129</v>
      </c>
      <c r="O355">
        <v>1.03E-2</v>
      </c>
      <c r="P355">
        <v>0.1176</v>
      </c>
      <c r="Q355">
        <v>2.17</v>
      </c>
    </row>
    <row r="356" spans="1:17" x14ac:dyDescent="0.3">
      <c r="A356" s="1">
        <v>45281</v>
      </c>
      <c r="B356" t="s">
        <v>48</v>
      </c>
      <c r="C356">
        <v>2146</v>
      </c>
      <c r="D356">
        <v>62</v>
      </c>
      <c r="E356">
        <v>13</v>
      </c>
      <c r="F356">
        <v>83</v>
      </c>
      <c r="G356">
        <v>2.8799999999999999E-2</v>
      </c>
      <c r="H356">
        <v>0.2162</v>
      </c>
      <c r="I356">
        <v>1.34</v>
      </c>
      <c r="J356" t="s">
        <v>49</v>
      </c>
      <c r="K356">
        <v>5210</v>
      </c>
      <c r="L356">
        <v>41</v>
      </c>
      <c r="M356">
        <v>3</v>
      </c>
      <c r="N356">
        <v>136</v>
      </c>
      <c r="O356">
        <v>7.9000000000000008E-3</v>
      </c>
      <c r="P356">
        <v>7.4200000000000002E-2</v>
      </c>
      <c r="Q356">
        <v>3.3</v>
      </c>
    </row>
    <row r="357" spans="1:17" x14ac:dyDescent="0.3">
      <c r="A357" s="1">
        <v>45282</v>
      </c>
      <c r="B357" t="s">
        <v>48</v>
      </c>
      <c r="C357">
        <v>2448</v>
      </c>
      <c r="D357">
        <v>73</v>
      </c>
      <c r="E357">
        <v>18</v>
      </c>
      <c r="F357">
        <v>134</v>
      </c>
      <c r="G357">
        <v>2.98E-2</v>
      </c>
      <c r="H357">
        <v>0.2412</v>
      </c>
      <c r="I357">
        <v>1.84</v>
      </c>
      <c r="J357" t="s">
        <v>49</v>
      </c>
      <c r="K357">
        <v>4462</v>
      </c>
      <c r="L357">
        <v>64</v>
      </c>
      <c r="M357">
        <v>8</v>
      </c>
      <c r="N357">
        <v>86</v>
      </c>
      <c r="O357">
        <v>1.43E-2</v>
      </c>
      <c r="P357">
        <v>0.12820000000000001</v>
      </c>
      <c r="Q357">
        <v>1.35</v>
      </c>
    </row>
    <row r="358" spans="1:17" x14ac:dyDescent="0.3">
      <c r="A358" s="1">
        <v>45283</v>
      </c>
      <c r="B358" t="s">
        <v>48</v>
      </c>
      <c r="C358">
        <v>2759</v>
      </c>
      <c r="D358">
        <v>48</v>
      </c>
      <c r="E358">
        <v>12</v>
      </c>
      <c r="F358">
        <v>139</v>
      </c>
      <c r="G358">
        <v>1.7399999999999999E-2</v>
      </c>
      <c r="H358">
        <v>0.24179999999999999</v>
      </c>
      <c r="I358">
        <v>2.89</v>
      </c>
      <c r="J358" t="s">
        <v>49</v>
      </c>
      <c r="K358">
        <v>4581</v>
      </c>
      <c r="L358">
        <v>45</v>
      </c>
      <c r="M358">
        <v>3</v>
      </c>
      <c r="N358">
        <v>80</v>
      </c>
      <c r="O358">
        <v>9.7999999999999997E-3</v>
      </c>
      <c r="P358">
        <v>7.22E-2</v>
      </c>
      <c r="Q358">
        <v>1.78</v>
      </c>
    </row>
    <row r="359" spans="1:17" x14ac:dyDescent="0.3">
      <c r="A359" s="1">
        <v>45284</v>
      </c>
      <c r="B359" t="s">
        <v>48</v>
      </c>
      <c r="C359">
        <v>2031</v>
      </c>
      <c r="D359">
        <v>63</v>
      </c>
      <c r="E359">
        <v>17</v>
      </c>
      <c r="F359">
        <v>87</v>
      </c>
      <c r="G359">
        <v>3.1E-2</v>
      </c>
      <c r="H359">
        <v>0.26350000000000001</v>
      </c>
      <c r="I359">
        <v>1.38</v>
      </c>
      <c r="J359" t="s">
        <v>49</v>
      </c>
      <c r="K359">
        <v>4235</v>
      </c>
      <c r="L359">
        <v>34</v>
      </c>
      <c r="M359">
        <v>6</v>
      </c>
      <c r="N359">
        <v>108</v>
      </c>
      <c r="O359">
        <v>8.0999999999999996E-3</v>
      </c>
      <c r="P359">
        <v>0.1668</v>
      </c>
      <c r="Q359">
        <v>3.16</v>
      </c>
    </row>
    <row r="360" spans="1:17" x14ac:dyDescent="0.3">
      <c r="A360" s="1">
        <v>45285</v>
      </c>
      <c r="B360" t="s">
        <v>48</v>
      </c>
      <c r="C360">
        <v>2386</v>
      </c>
      <c r="D360">
        <v>63</v>
      </c>
      <c r="E360">
        <v>18</v>
      </c>
      <c r="F360">
        <v>77</v>
      </c>
      <c r="G360">
        <v>2.64E-2</v>
      </c>
      <c r="H360">
        <v>0.27950000000000003</v>
      </c>
      <c r="I360">
        <v>1.22</v>
      </c>
      <c r="J360" t="s">
        <v>49</v>
      </c>
      <c r="K360">
        <v>5018</v>
      </c>
      <c r="L360">
        <v>77</v>
      </c>
      <c r="M360">
        <v>5</v>
      </c>
      <c r="N360">
        <v>146</v>
      </c>
      <c r="O360">
        <v>1.54E-2</v>
      </c>
      <c r="P360">
        <v>6.2899999999999998E-2</v>
      </c>
      <c r="Q360">
        <v>1.88</v>
      </c>
    </row>
    <row r="361" spans="1:17" x14ac:dyDescent="0.3">
      <c r="A361" s="1">
        <v>45286</v>
      </c>
      <c r="B361" t="s">
        <v>48</v>
      </c>
      <c r="C361">
        <v>1338</v>
      </c>
      <c r="D361">
        <v>33</v>
      </c>
      <c r="E361">
        <v>12</v>
      </c>
      <c r="F361">
        <v>119</v>
      </c>
      <c r="G361">
        <v>2.4799999999999999E-2</v>
      </c>
      <c r="H361">
        <v>0.35060000000000002</v>
      </c>
      <c r="I361">
        <v>3.6</v>
      </c>
      <c r="J361" t="s">
        <v>49</v>
      </c>
      <c r="K361">
        <v>4758</v>
      </c>
      <c r="L361">
        <v>38</v>
      </c>
      <c r="M361">
        <v>7</v>
      </c>
      <c r="N361">
        <v>91</v>
      </c>
      <c r="O361">
        <v>8.0000000000000002E-3</v>
      </c>
      <c r="P361">
        <v>0.18090000000000001</v>
      </c>
      <c r="Q361">
        <v>2.37</v>
      </c>
    </row>
    <row r="362" spans="1:17" x14ac:dyDescent="0.3">
      <c r="A362" s="1">
        <v>45287</v>
      </c>
      <c r="B362" t="s">
        <v>48</v>
      </c>
      <c r="C362">
        <v>3240</v>
      </c>
      <c r="D362">
        <v>51</v>
      </c>
      <c r="E362">
        <v>13</v>
      </c>
      <c r="F362">
        <v>63</v>
      </c>
      <c r="G362">
        <v>1.5699999999999999E-2</v>
      </c>
      <c r="H362">
        <v>0.25890000000000002</v>
      </c>
      <c r="I362">
        <v>1.24</v>
      </c>
      <c r="J362" t="s">
        <v>49</v>
      </c>
      <c r="K362">
        <v>5332</v>
      </c>
      <c r="L362">
        <v>72</v>
      </c>
      <c r="M362">
        <v>9</v>
      </c>
      <c r="N362">
        <v>76</v>
      </c>
      <c r="O362">
        <v>1.35E-2</v>
      </c>
      <c r="P362">
        <v>0.1192</v>
      </c>
      <c r="Q362">
        <v>1.06</v>
      </c>
    </row>
    <row r="363" spans="1:17" x14ac:dyDescent="0.3">
      <c r="A363" s="1">
        <v>45288</v>
      </c>
      <c r="B363" t="s">
        <v>48</v>
      </c>
      <c r="C363">
        <v>1510</v>
      </c>
      <c r="D363">
        <v>69</v>
      </c>
      <c r="E363">
        <v>18</v>
      </c>
      <c r="F363">
        <v>97</v>
      </c>
      <c r="G363">
        <v>4.5499999999999999E-2</v>
      </c>
      <c r="H363">
        <v>0.25819999999999999</v>
      </c>
      <c r="I363">
        <v>1.42</v>
      </c>
      <c r="J363" t="s">
        <v>49</v>
      </c>
      <c r="K363">
        <v>3887</v>
      </c>
      <c r="L363">
        <v>49</v>
      </c>
      <c r="M363">
        <v>6</v>
      </c>
      <c r="N363">
        <v>121</v>
      </c>
      <c r="O363">
        <v>1.2699999999999999E-2</v>
      </c>
      <c r="P363">
        <v>0.13100000000000001</v>
      </c>
      <c r="Q363">
        <v>2.46</v>
      </c>
    </row>
    <row r="364" spans="1:17" x14ac:dyDescent="0.3">
      <c r="A364" s="1">
        <v>45289</v>
      </c>
      <c r="B364" t="s">
        <v>48</v>
      </c>
      <c r="C364">
        <v>2918</v>
      </c>
      <c r="D364">
        <v>44</v>
      </c>
      <c r="E364">
        <v>13</v>
      </c>
      <c r="F364">
        <v>49</v>
      </c>
      <c r="G364">
        <v>1.4999999999999999E-2</v>
      </c>
      <c r="H364">
        <v>0.29110000000000003</v>
      </c>
      <c r="I364">
        <v>1.1100000000000001</v>
      </c>
      <c r="J364" t="s">
        <v>49</v>
      </c>
      <c r="K364">
        <v>5327</v>
      </c>
      <c r="L364">
        <v>62</v>
      </c>
      <c r="M364">
        <v>6</v>
      </c>
      <c r="N364">
        <v>128</v>
      </c>
      <c r="O364">
        <v>1.1599999999999999E-2</v>
      </c>
      <c r="P364">
        <v>9.8500000000000004E-2</v>
      </c>
      <c r="Q364">
        <v>2.08</v>
      </c>
    </row>
    <row r="365" spans="1:17" x14ac:dyDescent="0.3">
      <c r="A365" s="1">
        <v>45290</v>
      </c>
      <c r="B365" t="s">
        <v>48</v>
      </c>
      <c r="C365">
        <v>2212</v>
      </c>
      <c r="D365">
        <v>37</v>
      </c>
      <c r="E365">
        <v>8</v>
      </c>
      <c r="F365">
        <v>102</v>
      </c>
      <c r="G365">
        <v>1.6799999999999999E-2</v>
      </c>
      <c r="H365">
        <v>0.22700000000000001</v>
      </c>
      <c r="I365">
        <v>2.75</v>
      </c>
      <c r="J365" t="s">
        <v>49</v>
      </c>
      <c r="K365">
        <v>4020</v>
      </c>
      <c r="L365">
        <v>71</v>
      </c>
      <c r="M365">
        <v>6</v>
      </c>
      <c r="N365">
        <v>119</v>
      </c>
      <c r="O365">
        <v>1.7600000000000001E-2</v>
      </c>
      <c r="P365">
        <v>7.8299999999999995E-2</v>
      </c>
      <c r="Q365">
        <v>1.68</v>
      </c>
    </row>
    <row r="366" spans="1:17" x14ac:dyDescent="0.3">
      <c r="A366" s="1">
        <v>45291</v>
      </c>
      <c r="B366" t="s">
        <v>48</v>
      </c>
      <c r="C366">
        <v>1470</v>
      </c>
      <c r="D366">
        <v>60</v>
      </c>
      <c r="E366">
        <v>17</v>
      </c>
      <c r="F366">
        <v>99</v>
      </c>
      <c r="G366">
        <v>4.0599999999999997E-2</v>
      </c>
      <c r="H366">
        <v>0.2838</v>
      </c>
      <c r="I366">
        <v>1.65</v>
      </c>
      <c r="J366" t="s">
        <v>49</v>
      </c>
      <c r="K366">
        <v>4592</v>
      </c>
      <c r="L366">
        <v>47</v>
      </c>
      <c r="M366">
        <v>6</v>
      </c>
      <c r="N366">
        <v>86</v>
      </c>
      <c r="O366">
        <v>1.01E-2</v>
      </c>
      <c r="P366">
        <v>0.13600000000000001</v>
      </c>
      <c r="Q366">
        <v>1.85</v>
      </c>
    </row>
    <row r="367" spans="1:17" x14ac:dyDescent="0.3">
      <c r="A367" s="1"/>
    </row>
    <row r="368" spans="1:17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workbookViewId="0">
      <selection activeCell="L6" sqref="L6"/>
    </sheetView>
  </sheetViews>
  <sheetFormatPr baseColWidth="10" defaultColWidth="8.88671875" defaultRowHeight="14.4" x14ac:dyDescent="0.3"/>
  <cols>
    <col min="1" max="1" width="10.5546875" bestFit="1" customWidth="1"/>
    <col min="2" max="2" width="14.109375" customWidth="1"/>
    <col min="3" max="3" width="17.5546875" customWidth="1"/>
    <col min="4" max="4" width="15.109375" customWidth="1"/>
    <col min="5" max="5" width="13.33203125" style="9" customWidth="1"/>
    <col min="7" max="7" width="13.6640625" customWidth="1"/>
    <col min="8" max="8" width="14" customWidth="1"/>
    <col min="9" max="9" width="14.44140625" customWidth="1"/>
    <col min="10" max="10" width="13.21875" customWidth="1"/>
    <col min="11" max="11" width="9.88671875" customWidth="1"/>
    <col min="12" max="12" width="16.88671875" customWidth="1"/>
  </cols>
  <sheetData>
    <row r="1" spans="1:12" ht="35.4" thickTop="1" thickBot="1" x14ac:dyDescent="0.6">
      <c r="A1" s="7" t="s">
        <v>0</v>
      </c>
      <c r="B1" s="8" t="s">
        <v>11</v>
      </c>
      <c r="C1" s="8" t="s">
        <v>12</v>
      </c>
      <c r="D1" s="8" t="s">
        <v>3</v>
      </c>
      <c r="E1" s="6" t="s">
        <v>4</v>
      </c>
      <c r="H1" s="11" t="s">
        <v>64</v>
      </c>
      <c r="I1" s="10" t="s">
        <v>65</v>
      </c>
      <c r="J1" s="10" t="s">
        <v>66</v>
      </c>
      <c r="K1" s="10" t="s">
        <v>67</v>
      </c>
      <c r="L1" s="10" t="s">
        <v>68</v>
      </c>
    </row>
    <row r="2" spans="1:12" ht="15" thickTop="1" x14ac:dyDescent="0.3">
      <c r="A2" s="1">
        <v>44927</v>
      </c>
      <c r="B2">
        <v>59</v>
      </c>
      <c r="C2">
        <v>5</v>
      </c>
      <c r="D2">
        <v>18</v>
      </c>
      <c r="E2" s="12">
        <v>8</v>
      </c>
      <c r="H2" t="s">
        <v>61</v>
      </c>
      <c r="I2">
        <f>AVERAGE(B2:B366)</f>
        <v>60.38356164383562</v>
      </c>
      <c r="J2">
        <f>AVERAGE(C2:C366)</f>
        <v>5.9808219178082194</v>
      </c>
      <c r="K2">
        <f>AVERAGE(D2:D366)</f>
        <v>44.049315068493151</v>
      </c>
      <c r="L2">
        <f>AVERAGE(E2:E366)</f>
        <v>11.742465753424657</v>
      </c>
    </row>
    <row r="3" spans="1:12" x14ac:dyDescent="0.3">
      <c r="A3" s="1">
        <v>44928</v>
      </c>
      <c r="B3">
        <v>71</v>
      </c>
      <c r="C3">
        <v>6</v>
      </c>
      <c r="D3">
        <v>36</v>
      </c>
      <c r="E3" s="13">
        <v>12</v>
      </c>
      <c r="H3" t="s">
        <v>62</v>
      </c>
      <c r="I3" s="2">
        <f>MEDIAN(B2:B366)</f>
        <v>60</v>
      </c>
      <c r="J3">
        <f>MEDIAN(C2:C366)</f>
        <v>6</v>
      </c>
      <c r="K3">
        <f>MEDIAN(D2:D366)</f>
        <v>43</v>
      </c>
      <c r="L3">
        <f>MEDIAN(E2:E366)</f>
        <v>12</v>
      </c>
    </row>
    <row r="4" spans="1:12" x14ac:dyDescent="0.3">
      <c r="A4" s="1">
        <v>44929</v>
      </c>
      <c r="B4">
        <v>44</v>
      </c>
      <c r="C4">
        <v>4</v>
      </c>
      <c r="D4">
        <v>26</v>
      </c>
      <c r="E4" s="13">
        <v>8</v>
      </c>
      <c r="H4" t="s">
        <v>63</v>
      </c>
      <c r="I4" s="2">
        <f>MODE(B2:B366)</f>
        <v>78</v>
      </c>
      <c r="J4">
        <f>MODE(C2:C366)</f>
        <v>5</v>
      </c>
      <c r="K4">
        <f>MODE(D2:D366)</f>
        <v>36</v>
      </c>
      <c r="L4">
        <f>MODE(E2:E366)</f>
        <v>13</v>
      </c>
    </row>
    <row r="5" spans="1:12" x14ac:dyDescent="0.3">
      <c r="A5" s="1">
        <v>44930</v>
      </c>
      <c r="B5">
        <v>49</v>
      </c>
      <c r="C5">
        <v>5</v>
      </c>
      <c r="D5">
        <v>27</v>
      </c>
      <c r="E5" s="13">
        <v>9</v>
      </c>
      <c r="H5" t="s">
        <v>50</v>
      </c>
      <c r="I5" s="3">
        <f>STDEV(B2:B366)</f>
        <v>14.368224764536476</v>
      </c>
      <c r="J5">
        <f>STDEVA(C2:C366)</f>
        <v>1.6281062900885748</v>
      </c>
      <c r="K5">
        <f>STDEVA(D2:D366)</f>
        <v>12.140558707834293</v>
      </c>
      <c r="L5">
        <f>STDEVA(E2:E366)</f>
        <v>2.9247859792190001</v>
      </c>
    </row>
    <row r="6" spans="1:12" x14ac:dyDescent="0.3">
      <c r="A6" s="1">
        <v>44931</v>
      </c>
      <c r="B6">
        <v>55</v>
      </c>
      <c r="C6">
        <v>7</v>
      </c>
      <c r="D6">
        <v>15</v>
      </c>
      <c r="E6" s="13">
        <v>7</v>
      </c>
    </row>
    <row r="7" spans="1:12" x14ac:dyDescent="0.3">
      <c r="A7" s="1">
        <v>44932</v>
      </c>
      <c r="B7">
        <v>51</v>
      </c>
      <c r="C7">
        <v>4</v>
      </c>
      <c r="D7">
        <v>37</v>
      </c>
      <c r="E7" s="13">
        <v>10</v>
      </c>
    </row>
    <row r="8" spans="1:12" x14ac:dyDescent="0.3">
      <c r="A8" s="1">
        <v>44933</v>
      </c>
      <c r="B8">
        <v>66</v>
      </c>
      <c r="C8">
        <v>7</v>
      </c>
      <c r="D8">
        <v>49</v>
      </c>
      <c r="E8" s="13">
        <v>15</v>
      </c>
    </row>
    <row r="9" spans="1:12" x14ac:dyDescent="0.3">
      <c r="A9" s="1">
        <v>44934</v>
      </c>
      <c r="B9">
        <v>69</v>
      </c>
      <c r="C9">
        <v>4</v>
      </c>
      <c r="D9">
        <v>49</v>
      </c>
      <c r="E9" s="13">
        <v>12</v>
      </c>
    </row>
    <row r="10" spans="1:12" x14ac:dyDescent="0.3">
      <c r="A10" s="1">
        <v>44935</v>
      </c>
      <c r="B10">
        <v>82</v>
      </c>
      <c r="C10">
        <v>9</v>
      </c>
      <c r="D10">
        <v>36</v>
      </c>
      <c r="E10" s="13">
        <v>12</v>
      </c>
    </row>
    <row r="11" spans="1:12" x14ac:dyDescent="0.3">
      <c r="A11" s="1">
        <v>44936</v>
      </c>
      <c r="B11">
        <v>48</v>
      </c>
      <c r="C11">
        <v>5</v>
      </c>
      <c r="D11">
        <v>41</v>
      </c>
      <c r="E11" s="13">
        <v>13</v>
      </c>
    </row>
    <row r="12" spans="1:12" x14ac:dyDescent="0.3">
      <c r="A12" s="1">
        <v>44937</v>
      </c>
      <c r="B12">
        <v>58</v>
      </c>
      <c r="C12">
        <v>7</v>
      </c>
      <c r="D12">
        <v>51</v>
      </c>
      <c r="E12" s="13">
        <v>14</v>
      </c>
    </row>
    <row r="13" spans="1:12" x14ac:dyDescent="0.3">
      <c r="A13" s="1">
        <v>44938</v>
      </c>
      <c r="B13">
        <v>68</v>
      </c>
      <c r="C13">
        <v>8</v>
      </c>
      <c r="D13">
        <v>56</v>
      </c>
      <c r="E13" s="13">
        <v>14</v>
      </c>
    </row>
    <row r="14" spans="1:12" x14ac:dyDescent="0.3">
      <c r="A14" s="1">
        <v>44939</v>
      </c>
      <c r="B14">
        <v>83</v>
      </c>
      <c r="C14">
        <v>7</v>
      </c>
      <c r="D14">
        <v>48</v>
      </c>
      <c r="E14" s="13">
        <v>12</v>
      </c>
    </row>
    <row r="15" spans="1:12" x14ac:dyDescent="0.3">
      <c r="A15" s="1">
        <v>44940</v>
      </c>
      <c r="B15">
        <v>78</v>
      </c>
      <c r="C15">
        <v>9</v>
      </c>
      <c r="D15">
        <v>42</v>
      </c>
      <c r="E15" s="13">
        <v>11</v>
      </c>
    </row>
    <row r="16" spans="1:12" x14ac:dyDescent="0.3">
      <c r="A16" s="1">
        <v>44941</v>
      </c>
      <c r="B16">
        <v>36</v>
      </c>
      <c r="C16">
        <v>3</v>
      </c>
      <c r="D16">
        <v>56</v>
      </c>
      <c r="E16" s="13">
        <v>12</v>
      </c>
    </row>
    <row r="17" spans="1:5" x14ac:dyDescent="0.3">
      <c r="A17" s="1">
        <v>44942</v>
      </c>
      <c r="B17">
        <v>48</v>
      </c>
      <c r="C17">
        <v>6</v>
      </c>
      <c r="D17">
        <v>31</v>
      </c>
      <c r="E17" s="13">
        <v>7</v>
      </c>
    </row>
    <row r="18" spans="1:5" x14ac:dyDescent="0.3">
      <c r="A18" s="1">
        <v>44943</v>
      </c>
      <c r="B18">
        <v>52</v>
      </c>
      <c r="C18">
        <v>5</v>
      </c>
      <c r="D18">
        <v>28</v>
      </c>
      <c r="E18" s="13">
        <v>10</v>
      </c>
    </row>
    <row r="19" spans="1:5" x14ac:dyDescent="0.3">
      <c r="A19" s="1">
        <v>44944</v>
      </c>
      <c r="B19">
        <v>49</v>
      </c>
      <c r="C19">
        <v>6</v>
      </c>
      <c r="D19">
        <v>40</v>
      </c>
      <c r="E19" s="13">
        <v>13</v>
      </c>
    </row>
    <row r="20" spans="1:5" x14ac:dyDescent="0.3">
      <c r="A20" s="1">
        <v>44945</v>
      </c>
      <c r="B20">
        <v>68</v>
      </c>
      <c r="C20">
        <v>4</v>
      </c>
      <c r="D20">
        <v>30</v>
      </c>
      <c r="E20" s="13">
        <v>8</v>
      </c>
    </row>
    <row r="21" spans="1:5" x14ac:dyDescent="0.3">
      <c r="A21" s="1">
        <v>44946</v>
      </c>
      <c r="B21">
        <v>81</v>
      </c>
      <c r="C21">
        <v>7</v>
      </c>
      <c r="D21">
        <v>50</v>
      </c>
      <c r="E21" s="13">
        <v>13</v>
      </c>
    </row>
    <row r="22" spans="1:5" x14ac:dyDescent="0.3">
      <c r="A22" s="1">
        <v>44947</v>
      </c>
      <c r="B22">
        <v>49</v>
      </c>
      <c r="C22">
        <v>3</v>
      </c>
      <c r="D22">
        <v>33</v>
      </c>
      <c r="E22" s="13">
        <v>8</v>
      </c>
    </row>
    <row r="23" spans="1:5" x14ac:dyDescent="0.3">
      <c r="A23" s="1">
        <v>44948</v>
      </c>
      <c r="B23">
        <v>43</v>
      </c>
      <c r="C23">
        <v>4</v>
      </c>
      <c r="D23">
        <v>46</v>
      </c>
      <c r="E23" s="13">
        <v>12</v>
      </c>
    </row>
    <row r="24" spans="1:5" x14ac:dyDescent="0.3">
      <c r="A24" s="1">
        <v>44949</v>
      </c>
      <c r="B24">
        <v>63</v>
      </c>
      <c r="C24">
        <v>7</v>
      </c>
      <c r="D24">
        <v>28</v>
      </c>
      <c r="E24" s="13">
        <v>10</v>
      </c>
    </row>
    <row r="25" spans="1:5" x14ac:dyDescent="0.3">
      <c r="A25" s="1">
        <v>44950</v>
      </c>
      <c r="B25">
        <v>80</v>
      </c>
      <c r="C25">
        <v>6</v>
      </c>
      <c r="D25">
        <v>43</v>
      </c>
      <c r="E25" s="13">
        <v>12</v>
      </c>
    </row>
    <row r="26" spans="1:5" x14ac:dyDescent="0.3">
      <c r="A26" s="1">
        <v>44951</v>
      </c>
      <c r="B26">
        <v>50</v>
      </c>
      <c r="C26">
        <v>7</v>
      </c>
      <c r="D26">
        <v>52</v>
      </c>
      <c r="E26" s="13">
        <v>13</v>
      </c>
    </row>
    <row r="27" spans="1:5" x14ac:dyDescent="0.3">
      <c r="A27" s="1">
        <v>44952</v>
      </c>
      <c r="B27">
        <v>53</v>
      </c>
      <c r="C27">
        <v>4</v>
      </c>
      <c r="D27">
        <v>24</v>
      </c>
      <c r="E27" s="13">
        <v>6</v>
      </c>
    </row>
    <row r="28" spans="1:5" x14ac:dyDescent="0.3">
      <c r="A28" s="1">
        <v>44953</v>
      </c>
      <c r="B28">
        <v>77</v>
      </c>
      <c r="C28">
        <v>6</v>
      </c>
      <c r="D28">
        <v>45</v>
      </c>
      <c r="E28" s="13">
        <v>11</v>
      </c>
    </row>
    <row r="29" spans="1:5" x14ac:dyDescent="0.3">
      <c r="A29" s="1">
        <v>44954</v>
      </c>
      <c r="B29">
        <v>44</v>
      </c>
      <c r="C29">
        <v>7</v>
      </c>
      <c r="D29">
        <v>55</v>
      </c>
      <c r="E29" s="13">
        <v>13</v>
      </c>
    </row>
    <row r="30" spans="1:5" x14ac:dyDescent="0.3">
      <c r="A30" s="1">
        <v>44955</v>
      </c>
      <c r="B30">
        <v>78</v>
      </c>
      <c r="C30">
        <v>8</v>
      </c>
      <c r="D30">
        <v>43</v>
      </c>
      <c r="E30" s="13">
        <v>11</v>
      </c>
    </row>
    <row r="31" spans="1:5" x14ac:dyDescent="0.3">
      <c r="A31" s="1">
        <v>44956</v>
      </c>
      <c r="B31">
        <v>42</v>
      </c>
      <c r="C31">
        <v>5</v>
      </c>
      <c r="D31">
        <v>28</v>
      </c>
      <c r="E31" s="13">
        <v>11</v>
      </c>
    </row>
    <row r="32" spans="1:5" x14ac:dyDescent="0.3">
      <c r="A32" s="1">
        <v>44957</v>
      </c>
      <c r="B32">
        <v>50</v>
      </c>
      <c r="C32">
        <v>4</v>
      </c>
      <c r="D32">
        <v>31</v>
      </c>
      <c r="E32" s="13">
        <v>7</v>
      </c>
    </row>
    <row r="33" spans="1:5" x14ac:dyDescent="0.3">
      <c r="A33" s="1">
        <v>44958</v>
      </c>
      <c r="B33">
        <v>72</v>
      </c>
      <c r="C33">
        <v>6</v>
      </c>
      <c r="D33">
        <v>25</v>
      </c>
      <c r="E33" s="13">
        <v>9</v>
      </c>
    </row>
    <row r="34" spans="1:5" x14ac:dyDescent="0.3">
      <c r="A34" s="1">
        <v>44959</v>
      </c>
      <c r="B34">
        <v>76</v>
      </c>
      <c r="C34">
        <v>6</v>
      </c>
      <c r="D34">
        <v>26</v>
      </c>
      <c r="E34" s="13">
        <v>7</v>
      </c>
    </row>
    <row r="35" spans="1:5" x14ac:dyDescent="0.3">
      <c r="A35" s="1">
        <v>44960</v>
      </c>
      <c r="B35">
        <v>41</v>
      </c>
      <c r="C35">
        <v>5</v>
      </c>
      <c r="D35">
        <v>25</v>
      </c>
      <c r="E35" s="13">
        <v>10</v>
      </c>
    </row>
    <row r="36" spans="1:5" x14ac:dyDescent="0.3">
      <c r="A36" s="1">
        <v>44961</v>
      </c>
      <c r="B36">
        <v>49</v>
      </c>
      <c r="C36">
        <v>5</v>
      </c>
      <c r="D36">
        <v>56</v>
      </c>
      <c r="E36" s="13">
        <v>13</v>
      </c>
    </row>
    <row r="37" spans="1:5" x14ac:dyDescent="0.3">
      <c r="A37" s="1">
        <v>44962</v>
      </c>
      <c r="B37">
        <v>78</v>
      </c>
      <c r="C37">
        <v>9</v>
      </c>
      <c r="D37">
        <v>41</v>
      </c>
      <c r="E37" s="13">
        <v>11</v>
      </c>
    </row>
    <row r="38" spans="1:5" x14ac:dyDescent="0.3">
      <c r="A38" s="1">
        <v>44963</v>
      </c>
      <c r="B38">
        <v>69</v>
      </c>
      <c r="C38">
        <v>7</v>
      </c>
      <c r="D38">
        <v>34</v>
      </c>
      <c r="E38" s="13">
        <v>9</v>
      </c>
    </row>
    <row r="39" spans="1:5" x14ac:dyDescent="0.3">
      <c r="A39" s="1">
        <v>44964</v>
      </c>
      <c r="B39">
        <v>58</v>
      </c>
      <c r="C39">
        <v>7</v>
      </c>
      <c r="D39">
        <v>31</v>
      </c>
      <c r="E39" s="13">
        <v>10</v>
      </c>
    </row>
    <row r="40" spans="1:5" x14ac:dyDescent="0.3">
      <c r="A40" s="1">
        <v>44965</v>
      </c>
      <c r="B40">
        <v>48</v>
      </c>
      <c r="C40">
        <v>4</v>
      </c>
      <c r="D40">
        <v>41</v>
      </c>
      <c r="E40" s="13">
        <v>13</v>
      </c>
    </row>
    <row r="41" spans="1:5" x14ac:dyDescent="0.3">
      <c r="A41" s="1">
        <v>44966</v>
      </c>
      <c r="B41">
        <v>44</v>
      </c>
      <c r="C41">
        <v>4</v>
      </c>
      <c r="D41">
        <v>41</v>
      </c>
      <c r="E41" s="13">
        <v>13</v>
      </c>
    </row>
    <row r="42" spans="1:5" x14ac:dyDescent="0.3">
      <c r="A42" s="1">
        <v>44967</v>
      </c>
      <c r="B42">
        <v>43</v>
      </c>
      <c r="C42">
        <v>5</v>
      </c>
      <c r="D42">
        <v>35</v>
      </c>
      <c r="E42" s="13">
        <v>12</v>
      </c>
    </row>
    <row r="43" spans="1:5" x14ac:dyDescent="0.3">
      <c r="A43" s="1">
        <v>44968</v>
      </c>
      <c r="B43">
        <v>71</v>
      </c>
      <c r="C43">
        <v>8</v>
      </c>
      <c r="D43">
        <v>29</v>
      </c>
      <c r="E43" s="13">
        <v>9</v>
      </c>
    </row>
    <row r="44" spans="1:5" x14ac:dyDescent="0.3">
      <c r="A44" s="1">
        <v>44969</v>
      </c>
      <c r="B44">
        <v>74</v>
      </c>
      <c r="C44">
        <v>5</v>
      </c>
      <c r="D44">
        <v>54</v>
      </c>
      <c r="E44" s="13">
        <v>16</v>
      </c>
    </row>
    <row r="45" spans="1:5" x14ac:dyDescent="0.3">
      <c r="A45" s="1">
        <v>44970</v>
      </c>
      <c r="B45">
        <v>74</v>
      </c>
      <c r="C45">
        <v>5</v>
      </c>
      <c r="D45">
        <v>40</v>
      </c>
      <c r="E45" s="13">
        <v>10</v>
      </c>
    </row>
    <row r="46" spans="1:5" x14ac:dyDescent="0.3">
      <c r="A46" s="1">
        <v>44971</v>
      </c>
      <c r="B46">
        <v>80</v>
      </c>
      <c r="C46">
        <v>8</v>
      </c>
      <c r="D46">
        <v>31</v>
      </c>
      <c r="E46" s="13">
        <v>8</v>
      </c>
    </row>
    <row r="47" spans="1:5" x14ac:dyDescent="0.3">
      <c r="A47" s="1">
        <v>44972</v>
      </c>
      <c r="B47">
        <v>40</v>
      </c>
      <c r="C47">
        <v>3</v>
      </c>
      <c r="D47">
        <v>42</v>
      </c>
      <c r="E47" s="13">
        <v>10</v>
      </c>
    </row>
    <row r="48" spans="1:5" x14ac:dyDescent="0.3">
      <c r="A48" s="1">
        <v>44973</v>
      </c>
      <c r="B48">
        <v>63</v>
      </c>
      <c r="C48">
        <v>8</v>
      </c>
      <c r="D48">
        <v>26</v>
      </c>
      <c r="E48" s="13">
        <v>7</v>
      </c>
    </row>
    <row r="49" spans="1:5" x14ac:dyDescent="0.3">
      <c r="A49" s="1">
        <v>44974</v>
      </c>
      <c r="B49">
        <v>36</v>
      </c>
      <c r="C49">
        <v>7</v>
      </c>
      <c r="D49">
        <v>31</v>
      </c>
      <c r="E49" s="13">
        <v>10</v>
      </c>
    </row>
    <row r="50" spans="1:5" x14ac:dyDescent="0.3">
      <c r="A50" s="1">
        <v>44975</v>
      </c>
      <c r="B50">
        <v>74</v>
      </c>
      <c r="C50">
        <v>7</v>
      </c>
      <c r="D50">
        <v>31</v>
      </c>
      <c r="E50" s="13">
        <v>9</v>
      </c>
    </row>
    <row r="51" spans="1:5" x14ac:dyDescent="0.3">
      <c r="A51" s="1">
        <v>44976</v>
      </c>
      <c r="B51">
        <v>62</v>
      </c>
      <c r="C51">
        <v>4</v>
      </c>
      <c r="D51">
        <v>48</v>
      </c>
      <c r="E51" s="13">
        <v>11</v>
      </c>
    </row>
    <row r="52" spans="1:5" x14ac:dyDescent="0.3">
      <c r="A52" s="1">
        <v>44977</v>
      </c>
      <c r="B52">
        <v>67</v>
      </c>
      <c r="C52">
        <v>7</v>
      </c>
      <c r="D52">
        <v>34</v>
      </c>
      <c r="E52" s="13">
        <v>11</v>
      </c>
    </row>
    <row r="53" spans="1:5" x14ac:dyDescent="0.3">
      <c r="A53" s="1">
        <v>44978</v>
      </c>
      <c r="B53">
        <v>64</v>
      </c>
      <c r="C53">
        <v>7</v>
      </c>
      <c r="D53">
        <v>32</v>
      </c>
      <c r="E53" s="13">
        <v>8</v>
      </c>
    </row>
    <row r="54" spans="1:5" x14ac:dyDescent="0.3">
      <c r="A54" s="1">
        <v>44979</v>
      </c>
      <c r="B54">
        <v>61</v>
      </c>
      <c r="C54">
        <v>8</v>
      </c>
      <c r="D54">
        <v>48</v>
      </c>
      <c r="E54" s="13">
        <v>11</v>
      </c>
    </row>
    <row r="55" spans="1:5" x14ac:dyDescent="0.3">
      <c r="A55" s="1">
        <v>44980</v>
      </c>
      <c r="B55">
        <v>74</v>
      </c>
      <c r="C55">
        <v>5</v>
      </c>
      <c r="D55">
        <v>28</v>
      </c>
      <c r="E55" s="13">
        <v>7</v>
      </c>
    </row>
    <row r="56" spans="1:5" x14ac:dyDescent="0.3">
      <c r="A56" s="1">
        <v>44981</v>
      </c>
      <c r="B56">
        <v>71</v>
      </c>
      <c r="C56">
        <v>9</v>
      </c>
      <c r="D56">
        <v>51</v>
      </c>
      <c r="E56" s="13">
        <v>14</v>
      </c>
    </row>
    <row r="57" spans="1:5" x14ac:dyDescent="0.3">
      <c r="A57" s="1">
        <v>44982</v>
      </c>
      <c r="B57">
        <v>52</v>
      </c>
      <c r="C57">
        <v>4</v>
      </c>
      <c r="D57">
        <v>44</v>
      </c>
      <c r="E57" s="13">
        <v>11</v>
      </c>
    </row>
    <row r="58" spans="1:5" x14ac:dyDescent="0.3">
      <c r="A58" s="1">
        <v>44983</v>
      </c>
      <c r="B58">
        <v>66</v>
      </c>
      <c r="C58">
        <v>7</v>
      </c>
      <c r="D58">
        <v>35</v>
      </c>
      <c r="E58" s="13">
        <v>12</v>
      </c>
    </row>
    <row r="59" spans="1:5" x14ac:dyDescent="0.3">
      <c r="A59" s="1">
        <v>44984</v>
      </c>
      <c r="B59">
        <v>47</v>
      </c>
      <c r="C59">
        <v>7</v>
      </c>
      <c r="D59">
        <v>55</v>
      </c>
      <c r="E59" s="13">
        <v>15</v>
      </c>
    </row>
    <row r="60" spans="1:5" x14ac:dyDescent="0.3">
      <c r="A60" s="1">
        <v>44985</v>
      </c>
      <c r="B60">
        <v>32</v>
      </c>
      <c r="C60">
        <v>3</v>
      </c>
      <c r="D60">
        <v>54</v>
      </c>
      <c r="E60" s="13">
        <v>12</v>
      </c>
    </row>
    <row r="61" spans="1:5" x14ac:dyDescent="0.3">
      <c r="A61" s="1">
        <v>44986</v>
      </c>
      <c r="B61">
        <v>68</v>
      </c>
      <c r="C61">
        <v>4</v>
      </c>
      <c r="D61">
        <v>46</v>
      </c>
      <c r="E61" s="13">
        <v>12</v>
      </c>
    </row>
    <row r="62" spans="1:5" x14ac:dyDescent="0.3">
      <c r="A62" s="1">
        <v>44987</v>
      </c>
      <c r="B62">
        <v>51</v>
      </c>
      <c r="C62">
        <v>6</v>
      </c>
      <c r="D62">
        <v>57</v>
      </c>
      <c r="E62" s="13">
        <v>15</v>
      </c>
    </row>
    <row r="63" spans="1:5" x14ac:dyDescent="0.3">
      <c r="A63" s="1">
        <v>44988</v>
      </c>
      <c r="B63">
        <v>42</v>
      </c>
      <c r="C63">
        <v>6</v>
      </c>
      <c r="D63">
        <v>28</v>
      </c>
      <c r="E63" s="13">
        <v>8</v>
      </c>
    </row>
    <row r="64" spans="1:5" x14ac:dyDescent="0.3">
      <c r="A64" s="1">
        <v>44989</v>
      </c>
      <c r="B64">
        <v>50</v>
      </c>
      <c r="C64">
        <v>4</v>
      </c>
      <c r="D64">
        <v>40</v>
      </c>
      <c r="E64" s="13">
        <v>11</v>
      </c>
    </row>
    <row r="65" spans="1:5" x14ac:dyDescent="0.3">
      <c r="A65" s="1">
        <v>44990</v>
      </c>
      <c r="B65">
        <v>56</v>
      </c>
      <c r="C65">
        <v>8</v>
      </c>
      <c r="D65">
        <v>43</v>
      </c>
      <c r="E65" s="13">
        <v>13</v>
      </c>
    </row>
    <row r="66" spans="1:5" x14ac:dyDescent="0.3">
      <c r="A66" s="1">
        <v>44991</v>
      </c>
      <c r="B66">
        <v>71</v>
      </c>
      <c r="C66">
        <v>6</v>
      </c>
      <c r="D66">
        <v>51</v>
      </c>
      <c r="E66" s="13">
        <v>14</v>
      </c>
    </row>
    <row r="67" spans="1:5" x14ac:dyDescent="0.3">
      <c r="A67" s="1">
        <v>44992</v>
      </c>
      <c r="B67">
        <v>33</v>
      </c>
      <c r="C67">
        <v>5</v>
      </c>
      <c r="D67">
        <v>44</v>
      </c>
      <c r="E67" s="13">
        <v>13</v>
      </c>
    </row>
    <row r="68" spans="1:5" x14ac:dyDescent="0.3">
      <c r="A68" s="1">
        <v>44993</v>
      </c>
      <c r="B68">
        <v>70</v>
      </c>
      <c r="C68">
        <v>9</v>
      </c>
      <c r="D68">
        <v>24</v>
      </c>
      <c r="E68" s="13">
        <v>10</v>
      </c>
    </row>
    <row r="69" spans="1:5" x14ac:dyDescent="0.3">
      <c r="A69" s="1">
        <v>44994</v>
      </c>
      <c r="B69">
        <v>33</v>
      </c>
      <c r="C69">
        <v>7</v>
      </c>
      <c r="D69">
        <v>29</v>
      </c>
      <c r="E69" s="13">
        <v>9</v>
      </c>
    </row>
    <row r="70" spans="1:5" x14ac:dyDescent="0.3">
      <c r="A70" s="1">
        <v>44995</v>
      </c>
      <c r="B70">
        <v>62</v>
      </c>
      <c r="C70">
        <v>5</v>
      </c>
      <c r="D70">
        <v>22</v>
      </c>
      <c r="E70" s="13">
        <v>5</v>
      </c>
    </row>
    <row r="71" spans="1:5" x14ac:dyDescent="0.3">
      <c r="A71" s="1">
        <v>44996</v>
      </c>
      <c r="B71">
        <v>87</v>
      </c>
      <c r="C71">
        <v>5</v>
      </c>
      <c r="D71">
        <v>59</v>
      </c>
      <c r="E71" s="13">
        <v>15</v>
      </c>
    </row>
    <row r="72" spans="1:5" x14ac:dyDescent="0.3">
      <c r="A72" s="1">
        <v>44997</v>
      </c>
      <c r="B72">
        <v>65</v>
      </c>
      <c r="C72">
        <v>7</v>
      </c>
      <c r="D72">
        <v>43</v>
      </c>
      <c r="E72" s="13">
        <v>10</v>
      </c>
    </row>
    <row r="73" spans="1:5" x14ac:dyDescent="0.3">
      <c r="A73" s="1">
        <v>44998</v>
      </c>
      <c r="B73">
        <v>60</v>
      </c>
      <c r="C73">
        <v>4</v>
      </c>
      <c r="D73">
        <v>61</v>
      </c>
      <c r="E73" s="13">
        <v>17</v>
      </c>
    </row>
    <row r="74" spans="1:5" x14ac:dyDescent="0.3">
      <c r="A74" s="1">
        <v>44999</v>
      </c>
      <c r="B74">
        <v>44</v>
      </c>
      <c r="C74">
        <v>5</v>
      </c>
      <c r="D74">
        <v>54</v>
      </c>
      <c r="E74" s="13">
        <v>15</v>
      </c>
    </row>
    <row r="75" spans="1:5" x14ac:dyDescent="0.3">
      <c r="A75" s="1">
        <v>45000</v>
      </c>
      <c r="B75">
        <v>66</v>
      </c>
      <c r="C75">
        <v>8</v>
      </c>
      <c r="D75">
        <v>39</v>
      </c>
      <c r="E75" s="13">
        <v>9</v>
      </c>
    </row>
    <row r="76" spans="1:5" x14ac:dyDescent="0.3">
      <c r="A76" s="1">
        <v>45001</v>
      </c>
      <c r="B76">
        <v>58</v>
      </c>
      <c r="C76">
        <v>4</v>
      </c>
      <c r="D76">
        <v>33</v>
      </c>
      <c r="E76" s="13">
        <v>8</v>
      </c>
    </row>
    <row r="77" spans="1:5" x14ac:dyDescent="0.3">
      <c r="A77" s="1">
        <v>45002</v>
      </c>
      <c r="B77">
        <v>54</v>
      </c>
      <c r="C77">
        <v>4</v>
      </c>
      <c r="D77">
        <v>32</v>
      </c>
      <c r="E77" s="13">
        <v>9</v>
      </c>
    </row>
    <row r="78" spans="1:5" x14ac:dyDescent="0.3">
      <c r="A78" s="1">
        <v>45003</v>
      </c>
      <c r="B78">
        <v>70</v>
      </c>
      <c r="C78">
        <v>7</v>
      </c>
      <c r="D78">
        <v>59</v>
      </c>
      <c r="E78" s="13">
        <v>17</v>
      </c>
    </row>
    <row r="79" spans="1:5" x14ac:dyDescent="0.3">
      <c r="A79" s="1">
        <v>45004</v>
      </c>
      <c r="B79">
        <v>45</v>
      </c>
      <c r="C79">
        <v>4</v>
      </c>
      <c r="D79">
        <v>28</v>
      </c>
      <c r="E79" s="13">
        <v>10</v>
      </c>
    </row>
    <row r="80" spans="1:5" x14ac:dyDescent="0.3">
      <c r="A80" s="1">
        <v>45005</v>
      </c>
      <c r="B80">
        <v>34</v>
      </c>
      <c r="C80">
        <v>4</v>
      </c>
      <c r="D80">
        <v>37</v>
      </c>
      <c r="E80" s="13">
        <v>12</v>
      </c>
    </row>
    <row r="81" spans="1:5" x14ac:dyDescent="0.3">
      <c r="A81" s="1">
        <v>45006</v>
      </c>
      <c r="B81">
        <v>41</v>
      </c>
      <c r="C81">
        <v>6</v>
      </c>
      <c r="D81">
        <v>48</v>
      </c>
      <c r="E81" s="13">
        <v>11</v>
      </c>
    </row>
    <row r="82" spans="1:5" x14ac:dyDescent="0.3">
      <c r="A82" s="1">
        <v>45007</v>
      </c>
      <c r="B82">
        <v>66</v>
      </c>
      <c r="C82">
        <v>4</v>
      </c>
      <c r="D82">
        <v>35</v>
      </c>
      <c r="E82" s="13">
        <v>11</v>
      </c>
    </row>
    <row r="83" spans="1:5" x14ac:dyDescent="0.3">
      <c r="A83" s="1">
        <v>45008</v>
      </c>
      <c r="B83">
        <v>55</v>
      </c>
      <c r="C83">
        <v>8</v>
      </c>
      <c r="D83">
        <v>36</v>
      </c>
      <c r="E83" s="13">
        <v>11</v>
      </c>
    </row>
    <row r="84" spans="1:5" x14ac:dyDescent="0.3">
      <c r="A84" s="1">
        <v>45009</v>
      </c>
      <c r="B84">
        <v>78</v>
      </c>
      <c r="C84">
        <v>9</v>
      </c>
      <c r="D84">
        <v>54</v>
      </c>
      <c r="E84" s="13">
        <v>12</v>
      </c>
    </row>
    <row r="85" spans="1:5" x14ac:dyDescent="0.3">
      <c r="A85" s="1">
        <v>45010</v>
      </c>
      <c r="B85">
        <v>41</v>
      </c>
      <c r="C85">
        <v>3</v>
      </c>
      <c r="D85">
        <v>41</v>
      </c>
      <c r="E85" s="13">
        <v>10</v>
      </c>
    </row>
    <row r="86" spans="1:5" x14ac:dyDescent="0.3">
      <c r="A86" s="1">
        <v>45011</v>
      </c>
      <c r="B86">
        <v>68</v>
      </c>
      <c r="C86">
        <v>5</v>
      </c>
      <c r="D86">
        <v>40</v>
      </c>
      <c r="E86" s="13">
        <v>13</v>
      </c>
    </row>
    <row r="87" spans="1:5" x14ac:dyDescent="0.3">
      <c r="A87" s="1">
        <v>45012</v>
      </c>
      <c r="B87">
        <v>74</v>
      </c>
      <c r="C87">
        <v>7</v>
      </c>
      <c r="D87">
        <v>36</v>
      </c>
      <c r="E87" s="13">
        <v>9</v>
      </c>
    </row>
    <row r="88" spans="1:5" x14ac:dyDescent="0.3">
      <c r="A88" s="1">
        <v>45013</v>
      </c>
      <c r="B88">
        <v>62</v>
      </c>
      <c r="C88">
        <v>5</v>
      </c>
      <c r="D88">
        <v>39</v>
      </c>
      <c r="E88" s="13">
        <v>10</v>
      </c>
    </row>
    <row r="89" spans="1:5" x14ac:dyDescent="0.3">
      <c r="A89" s="1">
        <v>45014</v>
      </c>
      <c r="B89">
        <v>40</v>
      </c>
      <c r="C89">
        <v>5</v>
      </c>
      <c r="D89">
        <v>25</v>
      </c>
      <c r="E89" s="13">
        <v>6</v>
      </c>
    </row>
    <row r="90" spans="1:5" x14ac:dyDescent="0.3">
      <c r="A90" s="1">
        <v>45015</v>
      </c>
      <c r="B90">
        <v>67</v>
      </c>
      <c r="C90">
        <v>5</v>
      </c>
      <c r="D90">
        <v>41</v>
      </c>
      <c r="E90" s="13">
        <v>11</v>
      </c>
    </row>
    <row r="91" spans="1:5" x14ac:dyDescent="0.3">
      <c r="A91" s="1">
        <v>45016</v>
      </c>
      <c r="B91">
        <v>79</v>
      </c>
      <c r="C91">
        <v>9</v>
      </c>
      <c r="D91">
        <v>42</v>
      </c>
      <c r="E91" s="13">
        <v>11</v>
      </c>
    </row>
    <row r="92" spans="1:5" x14ac:dyDescent="0.3">
      <c r="A92" s="1">
        <v>45017</v>
      </c>
      <c r="B92">
        <v>59</v>
      </c>
      <c r="C92">
        <v>5</v>
      </c>
      <c r="D92">
        <v>30</v>
      </c>
      <c r="E92" s="13">
        <v>7</v>
      </c>
    </row>
    <row r="93" spans="1:5" x14ac:dyDescent="0.3">
      <c r="A93" s="1">
        <v>45018</v>
      </c>
      <c r="B93">
        <v>73</v>
      </c>
      <c r="C93">
        <v>9</v>
      </c>
      <c r="D93">
        <v>39</v>
      </c>
      <c r="E93" s="13">
        <v>10</v>
      </c>
    </row>
    <row r="94" spans="1:5" x14ac:dyDescent="0.3">
      <c r="A94" s="1">
        <v>45019</v>
      </c>
      <c r="B94">
        <v>56</v>
      </c>
      <c r="C94">
        <v>7</v>
      </c>
      <c r="D94">
        <v>34</v>
      </c>
      <c r="E94" s="13">
        <v>12</v>
      </c>
    </row>
    <row r="95" spans="1:5" x14ac:dyDescent="0.3">
      <c r="A95" s="1">
        <v>45020</v>
      </c>
      <c r="B95">
        <v>82</v>
      </c>
      <c r="C95">
        <v>5</v>
      </c>
      <c r="D95">
        <v>52</v>
      </c>
      <c r="E95" s="13">
        <v>14</v>
      </c>
    </row>
    <row r="96" spans="1:5" x14ac:dyDescent="0.3">
      <c r="A96" s="1">
        <v>45021</v>
      </c>
      <c r="B96">
        <v>62</v>
      </c>
      <c r="C96">
        <v>5</v>
      </c>
      <c r="D96">
        <v>53</v>
      </c>
      <c r="E96" s="13">
        <v>13</v>
      </c>
    </row>
    <row r="97" spans="1:5" x14ac:dyDescent="0.3">
      <c r="A97" s="1">
        <v>45022</v>
      </c>
      <c r="B97">
        <v>76</v>
      </c>
      <c r="C97">
        <v>6</v>
      </c>
      <c r="D97">
        <v>35</v>
      </c>
      <c r="E97" s="13">
        <v>9</v>
      </c>
    </row>
    <row r="98" spans="1:5" x14ac:dyDescent="0.3">
      <c r="A98" s="1">
        <v>45023</v>
      </c>
      <c r="B98">
        <v>35</v>
      </c>
      <c r="C98">
        <v>5</v>
      </c>
      <c r="D98">
        <v>44</v>
      </c>
      <c r="E98" s="13">
        <v>10</v>
      </c>
    </row>
    <row r="99" spans="1:5" x14ac:dyDescent="0.3">
      <c r="A99" s="1">
        <v>45024</v>
      </c>
      <c r="B99">
        <v>61</v>
      </c>
      <c r="C99">
        <v>4</v>
      </c>
      <c r="D99">
        <v>26</v>
      </c>
      <c r="E99" s="13">
        <v>6</v>
      </c>
    </row>
    <row r="100" spans="1:5" x14ac:dyDescent="0.3">
      <c r="A100" s="1">
        <v>45025</v>
      </c>
      <c r="B100">
        <v>65</v>
      </c>
      <c r="C100">
        <v>7</v>
      </c>
      <c r="D100">
        <v>40</v>
      </c>
      <c r="E100" s="13">
        <v>9</v>
      </c>
    </row>
    <row r="101" spans="1:5" x14ac:dyDescent="0.3">
      <c r="A101" s="1">
        <v>45026</v>
      </c>
      <c r="B101">
        <v>83</v>
      </c>
      <c r="C101">
        <v>9</v>
      </c>
      <c r="D101">
        <v>57</v>
      </c>
      <c r="E101" s="13">
        <v>16</v>
      </c>
    </row>
    <row r="102" spans="1:5" x14ac:dyDescent="0.3">
      <c r="A102" s="1">
        <v>45027</v>
      </c>
      <c r="B102">
        <v>35</v>
      </c>
      <c r="C102">
        <v>5</v>
      </c>
      <c r="D102">
        <v>36</v>
      </c>
      <c r="E102" s="13">
        <v>10</v>
      </c>
    </row>
    <row r="103" spans="1:5" x14ac:dyDescent="0.3">
      <c r="A103" s="1">
        <v>45028</v>
      </c>
      <c r="B103">
        <v>44</v>
      </c>
      <c r="C103">
        <v>3</v>
      </c>
      <c r="D103">
        <v>22</v>
      </c>
      <c r="E103" s="13">
        <v>6</v>
      </c>
    </row>
    <row r="104" spans="1:5" x14ac:dyDescent="0.3">
      <c r="A104" s="1">
        <v>45029</v>
      </c>
      <c r="B104">
        <v>57</v>
      </c>
      <c r="C104">
        <v>5</v>
      </c>
      <c r="D104">
        <v>43</v>
      </c>
      <c r="E104" s="13">
        <v>13</v>
      </c>
    </row>
    <row r="105" spans="1:5" x14ac:dyDescent="0.3">
      <c r="A105" s="1">
        <v>45030</v>
      </c>
      <c r="B105">
        <v>76</v>
      </c>
      <c r="C105">
        <v>7</v>
      </c>
      <c r="D105">
        <v>57</v>
      </c>
      <c r="E105" s="13">
        <v>12</v>
      </c>
    </row>
    <row r="106" spans="1:5" x14ac:dyDescent="0.3">
      <c r="A106" s="1">
        <v>45031</v>
      </c>
      <c r="B106">
        <v>48</v>
      </c>
      <c r="C106">
        <v>7</v>
      </c>
      <c r="D106">
        <v>39</v>
      </c>
      <c r="E106" s="13">
        <v>13</v>
      </c>
    </row>
    <row r="107" spans="1:5" x14ac:dyDescent="0.3">
      <c r="A107" s="1">
        <v>45032</v>
      </c>
      <c r="B107">
        <v>62</v>
      </c>
      <c r="C107">
        <v>8</v>
      </c>
      <c r="D107">
        <v>36</v>
      </c>
      <c r="E107" s="13">
        <v>10</v>
      </c>
    </row>
    <row r="108" spans="1:5" x14ac:dyDescent="0.3">
      <c r="A108" s="1">
        <v>45033</v>
      </c>
      <c r="B108">
        <v>45</v>
      </c>
      <c r="C108">
        <v>7</v>
      </c>
      <c r="D108">
        <v>58</v>
      </c>
      <c r="E108" s="13">
        <v>16</v>
      </c>
    </row>
    <row r="109" spans="1:5" x14ac:dyDescent="0.3">
      <c r="A109" s="1">
        <v>45034</v>
      </c>
      <c r="B109">
        <v>34</v>
      </c>
      <c r="C109">
        <v>4</v>
      </c>
      <c r="D109">
        <v>36</v>
      </c>
      <c r="E109" s="13">
        <v>10</v>
      </c>
    </row>
    <row r="110" spans="1:5" x14ac:dyDescent="0.3">
      <c r="A110" s="1">
        <v>45035</v>
      </c>
      <c r="B110">
        <v>51</v>
      </c>
      <c r="C110">
        <v>8</v>
      </c>
      <c r="D110">
        <v>33</v>
      </c>
      <c r="E110" s="13">
        <v>12</v>
      </c>
    </row>
    <row r="111" spans="1:5" x14ac:dyDescent="0.3">
      <c r="A111" s="1">
        <v>45036</v>
      </c>
      <c r="B111">
        <v>85</v>
      </c>
      <c r="C111">
        <v>8</v>
      </c>
      <c r="D111">
        <v>43</v>
      </c>
      <c r="E111" s="13">
        <v>12</v>
      </c>
    </row>
    <row r="112" spans="1:5" x14ac:dyDescent="0.3">
      <c r="A112" s="1">
        <v>45037</v>
      </c>
      <c r="B112">
        <v>59</v>
      </c>
      <c r="C112">
        <v>4</v>
      </c>
      <c r="D112">
        <v>62</v>
      </c>
      <c r="E112" s="13">
        <v>16</v>
      </c>
    </row>
    <row r="113" spans="1:5" x14ac:dyDescent="0.3">
      <c r="A113" s="1">
        <v>45038</v>
      </c>
      <c r="B113">
        <v>67</v>
      </c>
      <c r="C113">
        <v>8</v>
      </c>
      <c r="D113">
        <v>45</v>
      </c>
      <c r="E113" s="13">
        <v>10</v>
      </c>
    </row>
    <row r="114" spans="1:5" x14ac:dyDescent="0.3">
      <c r="A114" s="1">
        <v>45039</v>
      </c>
      <c r="B114">
        <v>77</v>
      </c>
      <c r="C114">
        <v>9</v>
      </c>
      <c r="D114">
        <v>51</v>
      </c>
      <c r="E114" s="13">
        <v>14</v>
      </c>
    </row>
    <row r="115" spans="1:5" x14ac:dyDescent="0.3">
      <c r="A115" s="1">
        <v>45040</v>
      </c>
      <c r="B115">
        <v>60</v>
      </c>
      <c r="C115">
        <v>7</v>
      </c>
      <c r="D115">
        <v>19</v>
      </c>
      <c r="E115" s="13">
        <v>8</v>
      </c>
    </row>
    <row r="116" spans="1:5" x14ac:dyDescent="0.3">
      <c r="A116" s="1">
        <v>45041</v>
      </c>
      <c r="B116">
        <v>53</v>
      </c>
      <c r="C116">
        <v>6</v>
      </c>
      <c r="D116">
        <v>39</v>
      </c>
      <c r="E116" s="13">
        <v>11</v>
      </c>
    </row>
    <row r="117" spans="1:5" x14ac:dyDescent="0.3">
      <c r="A117" s="1">
        <v>45042</v>
      </c>
      <c r="B117">
        <v>84</v>
      </c>
      <c r="C117">
        <v>5</v>
      </c>
      <c r="D117">
        <v>59</v>
      </c>
      <c r="E117" s="13">
        <v>15</v>
      </c>
    </row>
    <row r="118" spans="1:5" x14ac:dyDescent="0.3">
      <c r="A118" s="1">
        <v>45043</v>
      </c>
      <c r="B118">
        <v>37</v>
      </c>
      <c r="C118">
        <v>3</v>
      </c>
      <c r="D118">
        <v>53</v>
      </c>
      <c r="E118" s="13">
        <v>16</v>
      </c>
    </row>
    <row r="119" spans="1:5" x14ac:dyDescent="0.3">
      <c r="A119" s="1">
        <v>45044</v>
      </c>
      <c r="B119">
        <v>67</v>
      </c>
      <c r="C119">
        <v>8</v>
      </c>
      <c r="D119">
        <v>36</v>
      </c>
      <c r="E119" s="13">
        <v>11</v>
      </c>
    </row>
    <row r="120" spans="1:5" x14ac:dyDescent="0.3">
      <c r="A120" s="1">
        <v>45045</v>
      </c>
      <c r="B120">
        <v>57</v>
      </c>
      <c r="C120">
        <v>7</v>
      </c>
      <c r="D120">
        <v>31</v>
      </c>
      <c r="E120" s="13">
        <v>7</v>
      </c>
    </row>
    <row r="121" spans="1:5" x14ac:dyDescent="0.3">
      <c r="A121" s="1">
        <v>45046</v>
      </c>
      <c r="B121">
        <v>83</v>
      </c>
      <c r="C121">
        <v>8</v>
      </c>
      <c r="D121">
        <v>21</v>
      </c>
      <c r="E121" s="13">
        <v>6</v>
      </c>
    </row>
    <row r="122" spans="1:5" x14ac:dyDescent="0.3">
      <c r="A122" s="1">
        <v>45047</v>
      </c>
      <c r="B122">
        <v>70</v>
      </c>
      <c r="C122">
        <v>5</v>
      </c>
      <c r="D122">
        <v>52</v>
      </c>
      <c r="E122" s="13">
        <v>11</v>
      </c>
    </row>
    <row r="123" spans="1:5" x14ac:dyDescent="0.3">
      <c r="A123" s="1">
        <v>45048</v>
      </c>
      <c r="B123">
        <v>67</v>
      </c>
      <c r="C123">
        <v>5</v>
      </c>
      <c r="D123">
        <v>54</v>
      </c>
      <c r="E123" s="13">
        <v>15</v>
      </c>
    </row>
    <row r="124" spans="1:5" x14ac:dyDescent="0.3">
      <c r="A124" s="1">
        <v>45049</v>
      </c>
      <c r="B124">
        <v>37</v>
      </c>
      <c r="C124">
        <v>5</v>
      </c>
      <c r="D124">
        <v>35</v>
      </c>
      <c r="E124" s="13">
        <v>8</v>
      </c>
    </row>
    <row r="125" spans="1:5" x14ac:dyDescent="0.3">
      <c r="A125" s="1">
        <v>45050</v>
      </c>
      <c r="B125">
        <v>58</v>
      </c>
      <c r="C125">
        <v>4</v>
      </c>
      <c r="D125">
        <v>48</v>
      </c>
      <c r="E125" s="13">
        <v>12</v>
      </c>
    </row>
    <row r="126" spans="1:5" x14ac:dyDescent="0.3">
      <c r="A126" s="1">
        <v>45051</v>
      </c>
      <c r="B126">
        <v>68</v>
      </c>
      <c r="C126">
        <v>4</v>
      </c>
      <c r="D126">
        <v>53</v>
      </c>
      <c r="E126" s="13">
        <v>16</v>
      </c>
    </row>
    <row r="127" spans="1:5" x14ac:dyDescent="0.3">
      <c r="A127" s="1">
        <v>45052</v>
      </c>
      <c r="B127">
        <v>72</v>
      </c>
      <c r="C127">
        <v>9</v>
      </c>
      <c r="D127">
        <v>25</v>
      </c>
      <c r="E127" s="13">
        <v>7</v>
      </c>
    </row>
    <row r="128" spans="1:5" x14ac:dyDescent="0.3">
      <c r="A128" s="1">
        <v>45053</v>
      </c>
      <c r="B128">
        <v>60</v>
      </c>
      <c r="C128">
        <v>5</v>
      </c>
      <c r="D128">
        <v>25</v>
      </c>
      <c r="E128" s="13">
        <v>7</v>
      </c>
    </row>
    <row r="129" spans="1:5" x14ac:dyDescent="0.3">
      <c r="A129" s="1">
        <v>45054</v>
      </c>
      <c r="B129">
        <v>41</v>
      </c>
      <c r="C129">
        <v>5</v>
      </c>
      <c r="D129">
        <v>58</v>
      </c>
      <c r="E129" s="13">
        <v>17</v>
      </c>
    </row>
    <row r="130" spans="1:5" x14ac:dyDescent="0.3">
      <c r="A130" s="1">
        <v>45055</v>
      </c>
      <c r="B130">
        <v>40</v>
      </c>
      <c r="C130">
        <v>5</v>
      </c>
      <c r="D130">
        <v>41</v>
      </c>
      <c r="E130" s="13">
        <v>9</v>
      </c>
    </row>
    <row r="131" spans="1:5" x14ac:dyDescent="0.3">
      <c r="A131" s="1">
        <v>45056</v>
      </c>
      <c r="B131">
        <v>49</v>
      </c>
      <c r="C131">
        <v>7</v>
      </c>
      <c r="D131">
        <v>47</v>
      </c>
      <c r="E131" s="13">
        <v>13</v>
      </c>
    </row>
    <row r="132" spans="1:5" x14ac:dyDescent="0.3">
      <c r="A132" s="1">
        <v>45057</v>
      </c>
      <c r="B132">
        <v>52</v>
      </c>
      <c r="C132">
        <v>5</v>
      </c>
      <c r="D132">
        <v>34</v>
      </c>
      <c r="E132" s="13">
        <v>10</v>
      </c>
    </row>
    <row r="133" spans="1:5" x14ac:dyDescent="0.3">
      <c r="A133" s="1">
        <v>45058</v>
      </c>
      <c r="B133">
        <v>78</v>
      </c>
      <c r="C133">
        <v>7</v>
      </c>
      <c r="D133">
        <v>42</v>
      </c>
      <c r="E133" s="13">
        <v>13</v>
      </c>
    </row>
    <row r="134" spans="1:5" x14ac:dyDescent="0.3">
      <c r="A134" s="1">
        <v>45059</v>
      </c>
      <c r="B134">
        <v>83</v>
      </c>
      <c r="C134">
        <v>8</v>
      </c>
      <c r="D134">
        <v>33</v>
      </c>
      <c r="E134" s="13">
        <v>9</v>
      </c>
    </row>
    <row r="135" spans="1:5" x14ac:dyDescent="0.3">
      <c r="A135" s="1">
        <v>45060</v>
      </c>
      <c r="B135">
        <v>38</v>
      </c>
      <c r="C135">
        <v>6</v>
      </c>
      <c r="D135">
        <v>54</v>
      </c>
      <c r="E135" s="13">
        <v>12</v>
      </c>
    </row>
    <row r="136" spans="1:5" x14ac:dyDescent="0.3">
      <c r="A136" s="1">
        <v>45061</v>
      </c>
      <c r="B136">
        <v>41</v>
      </c>
      <c r="C136">
        <v>7</v>
      </c>
      <c r="D136">
        <v>44</v>
      </c>
      <c r="E136" s="13">
        <v>12</v>
      </c>
    </row>
    <row r="137" spans="1:5" x14ac:dyDescent="0.3">
      <c r="A137" s="1">
        <v>45062</v>
      </c>
      <c r="B137">
        <v>72</v>
      </c>
      <c r="C137">
        <v>5</v>
      </c>
      <c r="D137">
        <v>50</v>
      </c>
      <c r="E137" s="13">
        <v>15</v>
      </c>
    </row>
    <row r="138" spans="1:5" x14ac:dyDescent="0.3">
      <c r="A138" s="1">
        <v>45063</v>
      </c>
      <c r="B138">
        <v>54</v>
      </c>
      <c r="C138">
        <v>6</v>
      </c>
      <c r="D138">
        <v>59</v>
      </c>
      <c r="E138" s="13">
        <v>17</v>
      </c>
    </row>
    <row r="139" spans="1:5" x14ac:dyDescent="0.3">
      <c r="A139" s="1">
        <v>45064</v>
      </c>
      <c r="B139">
        <v>36</v>
      </c>
      <c r="C139">
        <v>4</v>
      </c>
      <c r="D139">
        <v>23</v>
      </c>
      <c r="E139" s="13">
        <v>9</v>
      </c>
    </row>
    <row r="140" spans="1:5" x14ac:dyDescent="0.3">
      <c r="A140" s="1">
        <v>45065</v>
      </c>
      <c r="B140">
        <v>54</v>
      </c>
      <c r="C140">
        <v>5</v>
      </c>
      <c r="D140">
        <v>59</v>
      </c>
      <c r="E140" s="13">
        <v>13</v>
      </c>
    </row>
    <row r="141" spans="1:5" x14ac:dyDescent="0.3">
      <c r="A141" s="1">
        <v>45066</v>
      </c>
      <c r="B141">
        <v>55</v>
      </c>
      <c r="C141">
        <v>5</v>
      </c>
      <c r="D141">
        <v>36</v>
      </c>
      <c r="E141" s="13">
        <v>10</v>
      </c>
    </row>
    <row r="142" spans="1:5" x14ac:dyDescent="0.3">
      <c r="A142" s="1">
        <v>45067</v>
      </c>
      <c r="B142">
        <v>45</v>
      </c>
      <c r="C142">
        <v>6</v>
      </c>
      <c r="D142">
        <v>42</v>
      </c>
      <c r="E142" s="13">
        <v>10</v>
      </c>
    </row>
    <row r="143" spans="1:5" x14ac:dyDescent="0.3">
      <c r="A143" s="1">
        <v>45068</v>
      </c>
      <c r="B143">
        <v>83</v>
      </c>
      <c r="C143">
        <v>8</v>
      </c>
      <c r="D143">
        <v>29</v>
      </c>
      <c r="E143" s="13">
        <v>7</v>
      </c>
    </row>
    <row r="144" spans="1:5" x14ac:dyDescent="0.3">
      <c r="A144" s="1">
        <v>45069</v>
      </c>
      <c r="B144">
        <v>55</v>
      </c>
      <c r="C144">
        <v>8</v>
      </c>
      <c r="D144">
        <v>26</v>
      </c>
      <c r="E144" s="13">
        <v>7</v>
      </c>
    </row>
    <row r="145" spans="1:5" x14ac:dyDescent="0.3">
      <c r="A145" s="1">
        <v>45070</v>
      </c>
      <c r="B145">
        <v>41</v>
      </c>
      <c r="C145">
        <v>6</v>
      </c>
      <c r="D145">
        <v>23</v>
      </c>
      <c r="E145" s="13">
        <v>6</v>
      </c>
    </row>
    <row r="146" spans="1:5" x14ac:dyDescent="0.3">
      <c r="A146" s="1">
        <v>45071</v>
      </c>
      <c r="B146">
        <v>73</v>
      </c>
      <c r="C146">
        <v>6</v>
      </c>
      <c r="D146">
        <v>48</v>
      </c>
      <c r="E146" s="13">
        <v>13</v>
      </c>
    </row>
    <row r="147" spans="1:5" x14ac:dyDescent="0.3">
      <c r="A147" s="1">
        <v>45072</v>
      </c>
      <c r="B147">
        <v>77</v>
      </c>
      <c r="C147">
        <v>5</v>
      </c>
      <c r="D147">
        <v>46</v>
      </c>
      <c r="E147" s="13">
        <v>14</v>
      </c>
    </row>
    <row r="148" spans="1:5" x14ac:dyDescent="0.3">
      <c r="A148" s="1">
        <v>45073</v>
      </c>
      <c r="B148">
        <v>88</v>
      </c>
      <c r="C148">
        <v>5</v>
      </c>
      <c r="D148">
        <v>37</v>
      </c>
      <c r="E148" s="13">
        <v>12</v>
      </c>
    </row>
    <row r="149" spans="1:5" x14ac:dyDescent="0.3">
      <c r="A149" s="1">
        <v>45074</v>
      </c>
      <c r="B149">
        <v>63</v>
      </c>
      <c r="C149">
        <v>4</v>
      </c>
      <c r="D149">
        <v>36</v>
      </c>
      <c r="E149" s="13">
        <v>9</v>
      </c>
    </row>
    <row r="150" spans="1:5" x14ac:dyDescent="0.3">
      <c r="A150" s="1">
        <v>45075</v>
      </c>
      <c r="B150">
        <v>60</v>
      </c>
      <c r="C150">
        <v>7</v>
      </c>
      <c r="D150">
        <v>37</v>
      </c>
      <c r="E150" s="13">
        <v>8</v>
      </c>
    </row>
    <row r="151" spans="1:5" x14ac:dyDescent="0.3">
      <c r="A151" s="1">
        <v>45076</v>
      </c>
      <c r="B151">
        <v>76</v>
      </c>
      <c r="C151">
        <v>8</v>
      </c>
      <c r="D151">
        <v>41</v>
      </c>
      <c r="E151" s="13">
        <v>11</v>
      </c>
    </row>
    <row r="152" spans="1:5" x14ac:dyDescent="0.3">
      <c r="A152" s="1">
        <v>45077</v>
      </c>
      <c r="B152">
        <v>48</v>
      </c>
      <c r="C152">
        <v>4</v>
      </c>
      <c r="D152">
        <v>23</v>
      </c>
      <c r="E152" s="13">
        <v>9</v>
      </c>
    </row>
    <row r="153" spans="1:5" x14ac:dyDescent="0.3">
      <c r="A153" s="1">
        <v>45078</v>
      </c>
      <c r="B153">
        <v>58</v>
      </c>
      <c r="C153">
        <v>6</v>
      </c>
      <c r="D153">
        <v>40</v>
      </c>
      <c r="E153" s="13">
        <v>13</v>
      </c>
    </row>
    <row r="154" spans="1:5" x14ac:dyDescent="0.3">
      <c r="A154" s="1">
        <v>45079</v>
      </c>
      <c r="B154">
        <v>45</v>
      </c>
      <c r="C154">
        <v>5</v>
      </c>
      <c r="D154">
        <v>35</v>
      </c>
      <c r="E154" s="13">
        <v>11</v>
      </c>
    </row>
    <row r="155" spans="1:5" x14ac:dyDescent="0.3">
      <c r="A155" s="1">
        <v>45080</v>
      </c>
      <c r="B155">
        <v>56</v>
      </c>
      <c r="C155">
        <v>7</v>
      </c>
      <c r="D155">
        <v>61</v>
      </c>
      <c r="E155" s="13">
        <v>16</v>
      </c>
    </row>
    <row r="156" spans="1:5" x14ac:dyDescent="0.3">
      <c r="A156" s="1">
        <v>45081</v>
      </c>
      <c r="B156">
        <v>73</v>
      </c>
      <c r="C156">
        <v>5</v>
      </c>
      <c r="D156">
        <v>36</v>
      </c>
      <c r="E156" s="13">
        <v>9</v>
      </c>
    </row>
    <row r="157" spans="1:5" x14ac:dyDescent="0.3">
      <c r="A157" s="1">
        <v>45082</v>
      </c>
      <c r="B157">
        <v>48</v>
      </c>
      <c r="C157">
        <v>7</v>
      </c>
      <c r="D157">
        <v>48</v>
      </c>
      <c r="E157" s="13">
        <v>13</v>
      </c>
    </row>
    <row r="158" spans="1:5" x14ac:dyDescent="0.3">
      <c r="A158" s="1">
        <v>45083</v>
      </c>
      <c r="B158">
        <v>71</v>
      </c>
      <c r="C158">
        <v>5</v>
      </c>
      <c r="D158">
        <v>22</v>
      </c>
      <c r="E158" s="13">
        <v>7</v>
      </c>
    </row>
    <row r="159" spans="1:5" x14ac:dyDescent="0.3">
      <c r="A159" s="1">
        <v>45084</v>
      </c>
      <c r="B159">
        <v>70</v>
      </c>
      <c r="C159">
        <v>5</v>
      </c>
      <c r="D159">
        <v>46</v>
      </c>
      <c r="E159" s="13">
        <v>14</v>
      </c>
    </row>
    <row r="160" spans="1:5" x14ac:dyDescent="0.3">
      <c r="A160" s="1">
        <v>45085</v>
      </c>
      <c r="B160">
        <v>60</v>
      </c>
      <c r="C160">
        <v>5</v>
      </c>
      <c r="D160">
        <v>56</v>
      </c>
      <c r="E160" s="13">
        <v>15</v>
      </c>
    </row>
    <row r="161" spans="1:5" x14ac:dyDescent="0.3">
      <c r="A161" s="1">
        <v>45086</v>
      </c>
      <c r="B161">
        <v>56</v>
      </c>
      <c r="C161">
        <v>7</v>
      </c>
      <c r="D161">
        <v>35</v>
      </c>
      <c r="E161" s="13">
        <v>8</v>
      </c>
    </row>
    <row r="162" spans="1:5" x14ac:dyDescent="0.3">
      <c r="A162" s="1">
        <v>45087</v>
      </c>
      <c r="B162">
        <v>85</v>
      </c>
      <c r="C162">
        <v>5</v>
      </c>
      <c r="D162">
        <v>29</v>
      </c>
      <c r="E162" s="13">
        <v>11</v>
      </c>
    </row>
    <row r="163" spans="1:5" x14ac:dyDescent="0.3">
      <c r="A163" s="1">
        <v>45088</v>
      </c>
      <c r="B163">
        <v>53</v>
      </c>
      <c r="C163">
        <v>7</v>
      </c>
      <c r="D163">
        <v>44</v>
      </c>
      <c r="E163" s="13">
        <v>10</v>
      </c>
    </row>
    <row r="164" spans="1:5" x14ac:dyDescent="0.3">
      <c r="A164" s="1">
        <v>45089</v>
      </c>
      <c r="B164">
        <v>80</v>
      </c>
      <c r="C164">
        <v>6</v>
      </c>
      <c r="D164">
        <v>40</v>
      </c>
      <c r="E164" s="13">
        <v>13</v>
      </c>
    </row>
    <row r="165" spans="1:5" x14ac:dyDescent="0.3">
      <c r="A165" s="1">
        <v>45090</v>
      </c>
      <c r="B165">
        <v>54</v>
      </c>
      <c r="C165">
        <v>8</v>
      </c>
      <c r="D165">
        <v>50</v>
      </c>
      <c r="E165" s="13">
        <v>13</v>
      </c>
    </row>
    <row r="166" spans="1:5" x14ac:dyDescent="0.3">
      <c r="A166" s="1">
        <v>45091</v>
      </c>
      <c r="B166">
        <v>59</v>
      </c>
      <c r="C166">
        <v>4</v>
      </c>
      <c r="D166">
        <v>31</v>
      </c>
      <c r="E166" s="13">
        <v>9</v>
      </c>
    </row>
    <row r="167" spans="1:5" x14ac:dyDescent="0.3">
      <c r="A167" s="1">
        <v>45092</v>
      </c>
      <c r="B167">
        <v>40</v>
      </c>
      <c r="C167">
        <v>4</v>
      </c>
      <c r="D167">
        <v>33</v>
      </c>
      <c r="E167" s="13">
        <v>9</v>
      </c>
    </row>
    <row r="168" spans="1:5" x14ac:dyDescent="0.3">
      <c r="A168" s="1">
        <v>45093</v>
      </c>
      <c r="B168">
        <v>75</v>
      </c>
      <c r="C168">
        <v>9</v>
      </c>
      <c r="D168">
        <v>39</v>
      </c>
      <c r="E168" s="13">
        <v>11</v>
      </c>
    </row>
    <row r="169" spans="1:5" x14ac:dyDescent="0.3">
      <c r="A169" s="1">
        <v>45094</v>
      </c>
      <c r="B169">
        <v>53</v>
      </c>
      <c r="C169">
        <v>8</v>
      </c>
      <c r="D169">
        <v>54</v>
      </c>
      <c r="E169" s="13">
        <v>16</v>
      </c>
    </row>
    <row r="170" spans="1:5" x14ac:dyDescent="0.3">
      <c r="A170" s="1">
        <v>45095</v>
      </c>
      <c r="B170">
        <v>84</v>
      </c>
      <c r="C170">
        <v>7</v>
      </c>
      <c r="D170">
        <v>54</v>
      </c>
      <c r="E170" s="13">
        <v>14</v>
      </c>
    </row>
    <row r="171" spans="1:5" x14ac:dyDescent="0.3">
      <c r="A171" s="1">
        <v>45096</v>
      </c>
      <c r="B171">
        <v>78</v>
      </c>
      <c r="C171">
        <v>9</v>
      </c>
      <c r="D171">
        <v>30</v>
      </c>
      <c r="E171" s="13">
        <v>7</v>
      </c>
    </row>
    <row r="172" spans="1:5" x14ac:dyDescent="0.3">
      <c r="A172" s="1">
        <v>45097</v>
      </c>
      <c r="B172">
        <v>76</v>
      </c>
      <c r="C172">
        <v>6</v>
      </c>
      <c r="D172">
        <v>58</v>
      </c>
      <c r="E172" s="13">
        <v>17</v>
      </c>
    </row>
    <row r="173" spans="1:5" x14ac:dyDescent="0.3">
      <c r="A173" s="1">
        <v>45098</v>
      </c>
      <c r="B173">
        <v>67</v>
      </c>
      <c r="C173">
        <v>8</v>
      </c>
      <c r="D173">
        <v>36</v>
      </c>
      <c r="E173" s="13">
        <v>10</v>
      </c>
    </row>
    <row r="174" spans="1:5" x14ac:dyDescent="0.3">
      <c r="A174" s="1">
        <v>45099</v>
      </c>
      <c r="B174">
        <v>80</v>
      </c>
      <c r="C174">
        <v>6</v>
      </c>
      <c r="D174">
        <v>34</v>
      </c>
      <c r="E174" s="13">
        <v>10</v>
      </c>
    </row>
    <row r="175" spans="1:5" x14ac:dyDescent="0.3">
      <c r="A175" s="1">
        <v>45100</v>
      </c>
      <c r="B175">
        <v>52</v>
      </c>
      <c r="C175">
        <v>5</v>
      </c>
      <c r="D175">
        <v>33</v>
      </c>
      <c r="E175" s="13">
        <v>9</v>
      </c>
    </row>
    <row r="176" spans="1:5" x14ac:dyDescent="0.3">
      <c r="A176" s="1">
        <v>45101</v>
      </c>
      <c r="B176">
        <v>50</v>
      </c>
      <c r="C176">
        <v>7</v>
      </c>
      <c r="D176">
        <v>53</v>
      </c>
      <c r="E176" s="13">
        <v>12</v>
      </c>
    </row>
    <row r="177" spans="1:5" x14ac:dyDescent="0.3">
      <c r="A177" s="1">
        <v>45102</v>
      </c>
      <c r="B177">
        <v>71</v>
      </c>
      <c r="C177">
        <v>5</v>
      </c>
      <c r="D177">
        <v>48</v>
      </c>
      <c r="E177" s="13">
        <v>12</v>
      </c>
    </row>
    <row r="178" spans="1:5" x14ac:dyDescent="0.3">
      <c r="A178" s="1">
        <v>45103</v>
      </c>
      <c r="B178">
        <v>50</v>
      </c>
      <c r="C178">
        <v>4</v>
      </c>
      <c r="D178">
        <v>40</v>
      </c>
      <c r="E178" s="13">
        <v>9</v>
      </c>
    </row>
    <row r="179" spans="1:5" x14ac:dyDescent="0.3">
      <c r="A179" s="1">
        <v>45104</v>
      </c>
      <c r="B179">
        <v>81</v>
      </c>
      <c r="C179">
        <v>9</v>
      </c>
      <c r="D179">
        <v>39</v>
      </c>
      <c r="E179" s="13">
        <v>9</v>
      </c>
    </row>
    <row r="180" spans="1:5" x14ac:dyDescent="0.3">
      <c r="A180" s="1">
        <v>45105</v>
      </c>
      <c r="B180">
        <v>65</v>
      </c>
      <c r="C180">
        <v>5</v>
      </c>
      <c r="D180">
        <v>34</v>
      </c>
      <c r="E180" s="13">
        <v>12</v>
      </c>
    </row>
    <row r="181" spans="1:5" x14ac:dyDescent="0.3">
      <c r="A181" s="1">
        <v>45106</v>
      </c>
      <c r="B181">
        <v>48</v>
      </c>
      <c r="C181">
        <v>7</v>
      </c>
      <c r="D181">
        <v>46</v>
      </c>
      <c r="E181" s="13">
        <v>11</v>
      </c>
    </row>
    <row r="182" spans="1:5" x14ac:dyDescent="0.3">
      <c r="A182" s="1">
        <v>45107</v>
      </c>
      <c r="B182">
        <v>54</v>
      </c>
      <c r="C182">
        <v>6</v>
      </c>
      <c r="D182">
        <v>55</v>
      </c>
      <c r="E182" s="13">
        <v>13</v>
      </c>
    </row>
    <row r="183" spans="1:5" x14ac:dyDescent="0.3">
      <c r="A183" s="1">
        <v>45108</v>
      </c>
      <c r="B183">
        <v>75</v>
      </c>
      <c r="C183">
        <v>7</v>
      </c>
      <c r="D183">
        <v>42</v>
      </c>
      <c r="E183" s="13">
        <v>10</v>
      </c>
    </row>
    <row r="184" spans="1:5" x14ac:dyDescent="0.3">
      <c r="A184" s="1">
        <v>45109</v>
      </c>
      <c r="B184">
        <v>74</v>
      </c>
      <c r="C184">
        <v>8</v>
      </c>
      <c r="D184">
        <v>31</v>
      </c>
      <c r="E184" s="13">
        <v>7</v>
      </c>
    </row>
    <row r="185" spans="1:5" x14ac:dyDescent="0.3">
      <c r="A185" s="1">
        <v>45110</v>
      </c>
      <c r="B185">
        <v>85</v>
      </c>
      <c r="C185">
        <v>6</v>
      </c>
      <c r="D185">
        <v>30</v>
      </c>
      <c r="E185" s="13">
        <v>7</v>
      </c>
    </row>
    <row r="186" spans="1:5" x14ac:dyDescent="0.3">
      <c r="A186" s="1">
        <v>45111</v>
      </c>
      <c r="B186">
        <v>54</v>
      </c>
      <c r="C186">
        <v>6</v>
      </c>
      <c r="D186">
        <v>47</v>
      </c>
      <c r="E186" s="13">
        <v>12</v>
      </c>
    </row>
    <row r="187" spans="1:5" x14ac:dyDescent="0.3">
      <c r="A187" s="1">
        <v>45112</v>
      </c>
      <c r="B187">
        <v>43</v>
      </c>
      <c r="C187">
        <v>7</v>
      </c>
      <c r="D187">
        <v>40</v>
      </c>
      <c r="E187" s="13">
        <v>13</v>
      </c>
    </row>
    <row r="188" spans="1:5" x14ac:dyDescent="0.3">
      <c r="A188" s="1">
        <v>45113</v>
      </c>
      <c r="B188">
        <v>54</v>
      </c>
      <c r="C188">
        <v>6</v>
      </c>
      <c r="D188">
        <v>33</v>
      </c>
      <c r="E188" s="13">
        <v>10</v>
      </c>
    </row>
    <row r="189" spans="1:5" x14ac:dyDescent="0.3">
      <c r="A189" s="1">
        <v>45114</v>
      </c>
      <c r="B189">
        <v>54</v>
      </c>
      <c r="C189">
        <v>8</v>
      </c>
      <c r="D189">
        <v>46</v>
      </c>
      <c r="E189" s="13">
        <v>12</v>
      </c>
    </row>
    <row r="190" spans="1:5" x14ac:dyDescent="0.3">
      <c r="A190" s="1">
        <v>45115</v>
      </c>
      <c r="B190">
        <v>55</v>
      </c>
      <c r="C190">
        <v>5</v>
      </c>
      <c r="D190">
        <v>53</v>
      </c>
      <c r="E190" s="13">
        <v>15</v>
      </c>
    </row>
    <row r="191" spans="1:5" x14ac:dyDescent="0.3">
      <c r="A191" s="1">
        <v>45116</v>
      </c>
      <c r="B191">
        <v>57</v>
      </c>
      <c r="C191">
        <v>7</v>
      </c>
      <c r="D191">
        <v>39</v>
      </c>
      <c r="E191" s="13">
        <v>11</v>
      </c>
    </row>
    <row r="192" spans="1:5" x14ac:dyDescent="0.3">
      <c r="A192" s="1">
        <v>45117</v>
      </c>
      <c r="B192">
        <v>49</v>
      </c>
      <c r="C192">
        <v>4</v>
      </c>
      <c r="D192">
        <v>56</v>
      </c>
      <c r="E192" s="13">
        <v>12</v>
      </c>
    </row>
    <row r="193" spans="1:5" x14ac:dyDescent="0.3">
      <c r="A193" s="1">
        <v>45118</v>
      </c>
      <c r="B193">
        <v>79</v>
      </c>
      <c r="C193">
        <v>8</v>
      </c>
      <c r="D193">
        <v>55</v>
      </c>
      <c r="E193" s="13">
        <v>12</v>
      </c>
    </row>
    <row r="194" spans="1:5" x14ac:dyDescent="0.3">
      <c r="A194" s="1">
        <v>45119</v>
      </c>
      <c r="B194">
        <v>80</v>
      </c>
      <c r="C194">
        <v>7</v>
      </c>
      <c r="D194">
        <v>39</v>
      </c>
      <c r="E194" s="13">
        <v>11</v>
      </c>
    </row>
    <row r="195" spans="1:5" x14ac:dyDescent="0.3">
      <c r="A195" s="1">
        <v>45120</v>
      </c>
      <c r="B195">
        <v>47</v>
      </c>
      <c r="C195">
        <v>3</v>
      </c>
      <c r="D195">
        <v>50</v>
      </c>
      <c r="E195" s="13">
        <v>14</v>
      </c>
    </row>
    <row r="196" spans="1:5" x14ac:dyDescent="0.3">
      <c r="A196" s="1">
        <v>45121</v>
      </c>
      <c r="B196">
        <v>73</v>
      </c>
      <c r="C196">
        <v>5</v>
      </c>
      <c r="D196">
        <v>27</v>
      </c>
      <c r="E196" s="13">
        <v>6</v>
      </c>
    </row>
    <row r="197" spans="1:5" x14ac:dyDescent="0.3">
      <c r="A197" s="1">
        <v>45122</v>
      </c>
      <c r="B197">
        <v>46</v>
      </c>
      <c r="C197">
        <v>4</v>
      </c>
      <c r="D197">
        <v>65</v>
      </c>
      <c r="E197" s="13">
        <v>18</v>
      </c>
    </row>
    <row r="198" spans="1:5" x14ac:dyDescent="0.3">
      <c r="A198" s="1">
        <v>45123</v>
      </c>
      <c r="B198">
        <v>67</v>
      </c>
      <c r="C198">
        <v>7</v>
      </c>
      <c r="D198">
        <v>54</v>
      </c>
      <c r="E198" s="13">
        <v>12</v>
      </c>
    </row>
    <row r="199" spans="1:5" x14ac:dyDescent="0.3">
      <c r="A199" s="1">
        <v>45124</v>
      </c>
      <c r="B199">
        <v>72</v>
      </c>
      <c r="C199">
        <v>6</v>
      </c>
      <c r="D199">
        <v>56</v>
      </c>
      <c r="E199" s="13">
        <v>15</v>
      </c>
    </row>
    <row r="200" spans="1:5" x14ac:dyDescent="0.3">
      <c r="A200" s="1">
        <v>45125</v>
      </c>
      <c r="B200">
        <v>81</v>
      </c>
      <c r="C200">
        <v>9</v>
      </c>
      <c r="D200">
        <v>36</v>
      </c>
      <c r="E200" s="13">
        <v>10</v>
      </c>
    </row>
    <row r="201" spans="1:5" x14ac:dyDescent="0.3">
      <c r="A201" s="1">
        <v>45126</v>
      </c>
      <c r="B201">
        <v>38</v>
      </c>
      <c r="C201">
        <v>7</v>
      </c>
      <c r="D201">
        <v>30</v>
      </c>
      <c r="E201" s="13">
        <v>10</v>
      </c>
    </row>
    <row r="202" spans="1:5" x14ac:dyDescent="0.3">
      <c r="A202" s="1">
        <v>45127</v>
      </c>
      <c r="B202">
        <v>41</v>
      </c>
      <c r="C202">
        <v>4</v>
      </c>
      <c r="D202">
        <v>62</v>
      </c>
      <c r="E202" s="13">
        <v>17</v>
      </c>
    </row>
    <row r="203" spans="1:5" x14ac:dyDescent="0.3">
      <c r="A203" s="1">
        <v>45128</v>
      </c>
      <c r="B203">
        <v>78</v>
      </c>
      <c r="C203">
        <v>5</v>
      </c>
      <c r="D203">
        <v>36</v>
      </c>
      <c r="E203" s="13">
        <v>10</v>
      </c>
    </row>
    <row r="204" spans="1:5" x14ac:dyDescent="0.3">
      <c r="A204" s="1">
        <v>45129</v>
      </c>
      <c r="B204">
        <v>75</v>
      </c>
      <c r="C204">
        <v>5</v>
      </c>
      <c r="D204">
        <v>54</v>
      </c>
      <c r="E204" s="13">
        <v>13</v>
      </c>
    </row>
    <row r="205" spans="1:5" x14ac:dyDescent="0.3">
      <c r="A205" s="1">
        <v>45130</v>
      </c>
      <c r="B205">
        <v>56</v>
      </c>
      <c r="C205">
        <v>6</v>
      </c>
      <c r="D205">
        <v>60</v>
      </c>
      <c r="E205" s="13">
        <v>13</v>
      </c>
    </row>
    <row r="206" spans="1:5" x14ac:dyDescent="0.3">
      <c r="A206" s="1">
        <v>45131</v>
      </c>
      <c r="B206">
        <v>57</v>
      </c>
      <c r="C206">
        <v>8</v>
      </c>
      <c r="D206">
        <v>49</v>
      </c>
      <c r="E206" s="13">
        <v>11</v>
      </c>
    </row>
    <row r="207" spans="1:5" x14ac:dyDescent="0.3">
      <c r="A207" s="1">
        <v>45132</v>
      </c>
      <c r="B207">
        <v>53</v>
      </c>
      <c r="C207">
        <v>6</v>
      </c>
      <c r="D207">
        <v>64</v>
      </c>
      <c r="E207" s="13">
        <v>17</v>
      </c>
    </row>
    <row r="208" spans="1:5" x14ac:dyDescent="0.3">
      <c r="A208" s="1">
        <v>45133</v>
      </c>
      <c r="B208">
        <v>74</v>
      </c>
      <c r="C208">
        <v>7</v>
      </c>
      <c r="D208">
        <v>42</v>
      </c>
      <c r="E208" s="13">
        <v>13</v>
      </c>
    </row>
    <row r="209" spans="1:5" x14ac:dyDescent="0.3">
      <c r="A209" s="1">
        <v>45134</v>
      </c>
      <c r="B209">
        <v>75</v>
      </c>
      <c r="C209">
        <v>7</v>
      </c>
      <c r="D209">
        <v>60</v>
      </c>
      <c r="E209" s="13">
        <v>13</v>
      </c>
    </row>
    <row r="210" spans="1:5" x14ac:dyDescent="0.3">
      <c r="A210" s="1">
        <v>45135</v>
      </c>
      <c r="B210">
        <v>78</v>
      </c>
      <c r="C210">
        <v>9</v>
      </c>
      <c r="D210">
        <v>40</v>
      </c>
      <c r="E210" s="13">
        <v>13</v>
      </c>
    </row>
    <row r="211" spans="1:5" x14ac:dyDescent="0.3">
      <c r="A211" s="1">
        <v>45136</v>
      </c>
      <c r="B211">
        <v>37</v>
      </c>
      <c r="C211">
        <v>3</v>
      </c>
      <c r="D211">
        <v>38</v>
      </c>
      <c r="E211" s="13">
        <v>12</v>
      </c>
    </row>
    <row r="212" spans="1:5" x14ac:dyDescent="0.3">
      <c r="A212" s="1">
        <v>45137</v>
      </c>
      <c r="B212">
        <v>78</v>
      </c>
      <c r="C212">
        <v>8</v>
      </c>
      <c r="D212">
        <v>46</v>
      </c>
      <c r="E212" s="13">
        <v>12</v>
      </c>
    </row>
    <row r="213" spans="1:5" x14ac:dyDescent="0.3">
      <c r="A213" s="1">
        <v>45138</v>
      </c>
      <c r="B213">
        <v>83</v>
      </c>
      <c r="C213">
        <v>8</v>
      </c>
      <c r="D213">
        <v>51</v>
      </c>
      <c r="E213" s="13">
        <v>14</v>
      </c>
    </row>
    <row r="214" spans="1:5" x14ac:dyDescent="0.3">
      <c r="A214" s="1">
        <v>45139</v>
      </c>
      <c r="B214">
        <v>41</v>
      </c>
      <c r="C214">
        <v>6</v>
      </c>
      <c r="D214">
        <v>66</v>
      </c>
      <c r="E214" s="13">
        <v>16</v>
      </c>
    </row>
    <row r="215" spans="1:5" x14ac:dyDescent="0.3">
      <c r="A215" s="1">
        <v>45140</v>
      </c>
      <c r="B215">
        <v>59</v>
      </c>
      <c r="C215">
        <v>8</v>
      </c>
      <c r="D215">
        <v>53</v>
      </c>
      <c r="E215" s="13">
        <v>13</v>
      </c>
    </row>
    <row r="216" spans="1:5" x14ac:dyDescent="0.3">
      <c r="A216" s="1">
        <v>45141</v>
      </c>
      <c r="B216">
        <v>68</v>
      </c>
      <c r="C216">
        <v>6</v>
      </c>
      <c r="D216">
        <v>35</v>
      </c>
      <c r="E216" s="13">
        <v>8</v>
      </c>
    </row>
    <row r="217" spans="1:5" x14ac:dyDescent="0.3">
      <c r="A217" s="1">
        <v>45142</v>
      </c>
      <c r="B217">
        <v>62</v>
      </c>
      <c r="C217">
        <v>5</v>
      </c>
      <c r="D217">
        <v>23</v>
      </c>
      <c r="E217" s="13">
        <v>10</v>
      </c>
    </row>
    <row r="218" spans="1:5" x14ac:dyDescent="0.3">
      <c r="A218" s="1">
        <v>45143</v>
      </c>
      <c r="B218">
        <v>46</v>
      </c>
      <c r="C218">
        <v>3</v>
      </c>
      <c r="D218">
        <v>33</v>
      </c>
      <c r="E218" s="13">
        <v>8</v>
      </c>
    </row>
    <row r="219" spans="1:5" x14ac:dyDescent="0.3">
      <c r="A219" s="1">
        <v>45144</v>
      </c>
      <c r="B219">
        <v>88</v>
      </c>
      <c r="C219">
        <v>9</v>
      </c>
      <c r="D219">
        <v>55</v>
      </c>
      <c r="E219" s="13">
        <v>15</v>
      </c>
    </row>
    <row r="220" spans="1:5" x14ac:dyDescent="0.3">
      <c r="A220" s="1">
        <v>45145</v>
      </c>
      <c r="B220">
        <v>42</v>
      </c>
      <c r="C220">
        <v>7</v>
      </c>
      <c r="D220">
        <v>58</v>
      </c>
      <c r="E220" s="13">
        <v>14</v>
      </c>
    </row>
    <row r="221" spans="1:5" x14ac:dyDescent="0.3">
      <c r="A221" s="1">
        <v>45146</v>
      </c>
      <c r="B221">
        <v>54</v>
      </c>
      <c r="C221">
        <v>7</v>
      </c>
      <c r="D221">
        <v>36</v>
      </c>
      <c r="E221" s="13">
        <v>11</v>
      </c>
    </row>
    <row r="222" spans="1:5" x14ac:dyDescent="0.3">
      <c r="A222" s="1">
        <v>45147</v>
      </c>
      <c r="B222">
        <v>46</v>
      </c>
      <c r="C222">
        <v>3</v>
      </c>
      <c r="D222">
        <v>42</v>
      </c>
      <c r="E222" s="13">
        <v>12</v>
      </c>
    </row>
    <row r="223" spans="1:5" x14ac:dyDescent="0.3">
      <c r="A223" s="1">
        <v>45148</v>
      </c>
      <c r="B223">
        <v>57</v>
      </c>
      <c r="C223">
        <v>5</v>
      </c>
      <c r="D223">
        <v>52</v>
      </c>
      <c r="E223" s="13">
        <v>14</v>
      </c>
    </row>
    <row r="224" spans="1:5" x14ac:dyDescent="0.3">
      <c r="A224" s="1">
        <v>45149</v>
      </c>
      <c r="B224">
        <v>50</v>
      </c>
      <c r="C224">
        <v>3</v>
      </c>
      <c r="D224">
        <v>35</v>
      </c>
      <c r="E224" s="13">
        <v>10</v>
      </c>
    </row>
    <row r="225" spans="1:5" x14ac:dyDescent="0.3">
      <c r="A225" s="1">
        <v>45150</v>
      </c>
      <c r="B225">
        <v>62</v>
      </c>
      <c r="C225">
        <v>6</v>
      </c>
      <c r="D225">
        <v>34</v>
      </c>
      <c r="E225" s="13">
        <v>8</v>
      </c>
    </row>
    <row r="226" spans="1:5" x14ac:dyDescent="0.3">
      <c r="A226" s="1">
        <v>45151</v>
      </c>
      <c r="B226">
        <v>85</v>
      </c>
      <c r="C226">
        <v>8</v>
      </c>
      <c r="D226">
        <v>45</v>
      </c>
      <c r="E226" s="13">
        <v>12</v>
      </c>
    </row>
    <row r="227" spans="1:5" x14ac:dyDescent="0.3">
      <c r="A227" s="1">
        <v>45152</v>
      </c>
      <c r="B227">
        <v>81</v>
      </c>
      <c r="C227">
        <v>5</v>
      </c>
      <c r="D227">
        <v>26</v>
      </c>
      <c r="E227" s="13">
        <v>9</v>
      </c>
    </row>
    <row r="228" spans="1:5" x14ac:dyDescent="0.3">
      <c r="A228" s="1">
        <v>45153</v>
      </c>
      <c r="B228">
        <v>41</v>
      </c>
      <c r="C228">
        <v>3</v>
      </c>
      <c r="D228">
        <v>23</v>
      </c>
      <c r="E228" s="13">
        <v>7</v>
      </c>
    </row>
    <row r="229" spans="1:5" x14ac:dyDescent="0.3">
      <c r="A229" s="1">
        <v>45154</v>
      </c>
      <c r="B229">
        <v>76</v>
      </c>
      <c r="C229">
        <v>9</v>
      </c>
      <c r="D229">
        <v>56</v>
      </c>
      <c r="E229" s="13">
        <v>16</v>
      </c>
    </row>
    <row r="230" spans="1:5" x14ac:dyDescent="0.3">
      <c r="A230" s="1">
        <v>45155</v>
      </c>
      <c r="B230">
        <v>66</v>
      </c>
      <c r="C230">
        <v>7</v>
      </c>
      <c r="D230">
        <v>47</v>
      </c>
      <c r="E230" s="13">
        <v>10</v>
      </c>
    </row>
    <row r="231" spans="1:5" x14ac:dyDescent="0.3">
      <c r="A231" s="1">
        <v>45156</v>
      </c>
      <c r="B231">
        <v>70</v>
      </c>
      <c r="C231">
        <v>6</v>
      </c>
      <c r="D231">
        <v>51</v>
      </c>
      <c r="E231" s="13">
        <v>13</v>
      </c>
    </row>
    <row r="232" spans="1:5" x14ac:dyDescent="0.3">
      <c r="A232" s="1">
        <v>45157</v>
      </c>
      <c r="B232">
        <v>68</v>
      </c>
      <c r="C232">
        <v>5</v>
      </c>
      <c r="D232">
        <v>34</v>
      </c>
      <c r="E232" s="13">
        <v>8</v>
      </c>
    </row>
    <row r="233" spans="1:5" x14ac:dyDescent="0.3">
      <c r="A233" s="1">
        <v>45158</v>
      </c>
      <c r="B233">
        <v>61</v>
      </c>
      <c r="C233">
        <v>4</v>
      </c>
      <c r="D233">
        <v>59</v>
      </c>
      <c r="E233" s="13">
        <v>14</v>
      </c>
    </row>
    <row r="234" spans="1:5" x14ac:dyDescent="0.3">
      <c r="A234" s="1">
        <v>45159</v>
      </c>
      <c r="B234">
        <v>32</v>
      </c>
      <c r="C234">
        <v>4</v>
      </c>
      <c r="D234">
        <v>41</v>
      </c>
      <c r="E234" s="13">
        <v>11</v>
      </c>
    </row>
    <row r="235" spans="1:5" x14ac:dyDescent="0.3">
      <c r="A235" s="1">
        <v>45160</v>
      </c>
      <c r="B235">
        <v>47</v>
      </c>
      <c r="C235">
        <v>7</v>
      </c>
      <c r="D235">
        <v>40</v>
      </c>
      <c r="E235" s="13">
        <v>9</v>
      </c>
    </row>
    <row r="236" spans="1:5" x14ac:dyDescent="0.3">
      <c r="A236" s="1">
        <v>45161</v>
      </c>
      <c r="B236">
        <v>43</v>
      </c>
      <c r="C236">
        <v>6</v>
      </c>
      <c r="D236">
        <v>35</v>
      </c>
      <c r="E236" s="13">
        <v>11</v>
      </c>
    </row>
    <row r="237" spans="1:5" x14ac:dyDescent="0.3">
      <c r="A237" s="1">
        <v>45162</v>
      </c>
      <c r="B237">
        <v>42</v>
      </c>
      <c r="C237">
        <v>7</v>
      </c>
      <c r="D237">
        <v>40</v>
      </c>
      <c r="E237" s="13">
        <v>12</v>
      </c>
    </row>
    <row r="238" spans="1:5" x14ac:dyDescent="0.3">
      <c r="A238" s="1">
        <v>45163</v>
      </c>
      <c r="B238">
        <v>63</v>
      </c>
      <c r="C238">
        <v>7</v>
      </c>
      <c r="D238">
        <v>29</v>
      </c>
      <c r="E238" s="13">
        <v>10</v>
      </c>
    </row>
    <row r="239" spans="1:5" x14ac:dyDescent="0.3">
      <c r="A239" s="1">
        <v>45164</v>
      </c>
      <c r="B239">
        <v>71</v>
      </c>
      <c r="C239">
        <v>7</v>
      </c>
      <c r="D239">
        <v>28</v>
      </c>
      <c r="E239" s="13">
        <v>9</v>
      </c>
    </row>
    <row r="240" spans="1:5" x14ac:dyDescent="0.3">
      <c r="A240" s="1">
        <v>45165</v>
      </c>
      <c r="B240">
        <v>69</v>
      </c>
      <c r="C240">
        <v>7</v>
      </c>
      <c r="D240">
        <v>51</v>
      </c>
      <c r="E240" s="13">
        <v>15</v>
      </c>
    </row>
    <row r="241" spans="1:5" x14ac:dyDescent="0.3">
      <c r="A241" s="1">
        <v>45166</v>
      </c>
      <c r="B241">
        <v>57</v>
      </c>
      <c r="C241">
        <v>8</v>
      </c>
      <c r="D241">
        <v>41</v>
      </c>
      <c r="E241" s="13">
        <v>10</v>
      </c>
    </row>
    <row r="242" spans="1:5" x14ac:dyDescent="0.3">
      <c r="A242" s="1">
        <v>45167</v>
      </c>
      <c r="B242">
        <v>58</v>
      </c>
      <c r="C242">
        <v>6</v>
      </c>
      <c r="D242">
        <v>32</v>
      </c>
      <c r="E242" s="13">
        <v>8</v>
      </c>
    </row>
    <row r="243" spans="1:5" x14ac:dyDescent="0.3">
      <c r="A243" s="1">
        <v>45168</v>
      </c>
      <c r="B243">
        <v>39</v>
      </c>
      <c r="C243">
        <v>3</v>
      </c>
      <c r="D243">
        <v>39</v>
      </c>
      <c r="E243" s="13">
        <v>11</v>
      </c>
    </row>
    <row r="244" spans="1:5" x14ac:dyDescent="0.3">
      <c r="A244" s="1">
        <v>45169</v>
      </c>
      <c r="B244">
        <v>81</v>
      </c>
      <c r="C244">
        <v>6</v>
      </c>
      <c r="D244">
        <v>63</v>
      </c>
      <c r="E244" s="13">
        <v>15</v>
      </c>
    </row>
    <row r="245" spans="1:5" x14ac:dyDescent="0.3">
      <c r="A245" s="1">
        <v>45170</v>
      </c>
      <c r="B245">
        <v>80</v>
      </c>
      <c r="C245">
        <v>9</v>
      </c>
      <c r="D245">
        <v>42</v>
      </c>
      <c r="E245" s="13">
        <v>10</v>
      </c>
    </row>
    <row r="246" spans="1:5" x14ac:dyDescent="0.3">
      <c r="A246" s="1">
        <v>45171</v>
      </c>
      <c r="B246">
        <v>48</v>
      </c>
      <c r="C246">
        <v>7</v>
      </c>
      <c r="D246">
        <v>51</v>
      </c>
      <c r="E246" s="13">
        <v>13</v>
      </c>
    </row>
    <row r="247" spans="1:5" x14ac:dyDescent="0.3">
      <c r="A247" s="1">
        <v>45172</v>
      </c>
      <c r="B247">
        <v>74</v>
      </c>
      <c r="C247">
        <v>8</v>
      </c>
      <c r="D247">
        <v>29</v>
      </c>
      <c r="E247" s="13">
        <v>7</v>
      </c>
    </row>
    <row r="248" spans="1:5" x14ac:dyDescent="0.3">
      <c r="A248" s="1">
        <v>45173</v>
      </c>
      <c r="B248">
        <v>53</v>
      </c>
      <c r="C248">
        <v>7</v>
      </c>
      <c r="D248">
        <v>63</v>
      </c>
      <c r="E248" s="13">
        <v>18</v>
      </c>
    </row>
    <row r="249" spans="1:5" x14ac:dyDescent="0.3">
      <c r="A249" s="1">
        <v>45174</v>
      </c>
      <c r="B249">
        <v>52</v>
      </c>
      <c r="C249">
        <v>5</v>
      </c>
      <c r="D249">
        <v>33</v>
      </c>
      <c r="E249" s="13">
        <v>11</v>
      </c>
    </row>
    <row r="250" spans="1:5" x14ac:dyDescent="0.3">
      <c r="A250" s="1">
        <v>45175</v>
      </c>
      <c r="B250">
        <v>82</v>
      </c>
      <c r="C250">
        <v>7</v>
      </c>
      <c r="D250">
        <v>56</v>
      </c>
      <c r="E250" s="13">
        <v>15</v>
      </c>
    </row>
    <row r="251" spans="1:5" x14ac:dyDescent="0.3">
      <c r="A251" s="1">
        <v>45176</v>
      </c>
      <c r="B251">
        <v>57</v>
      </c>
      <c r="C251">
        <v>4</v>
      </c>
      <c r="D251">
        <v>54</v>
      </c>
      <c r="E251" s="13">
        <v>16</v>
      </c>
    </row>
    <row r="252" spans="1:5" x14ac:dyDescent="0.3">
      <c r="A252" s="1">
        <v>45177</v>
      </c>
      <c r="B252">
        <v>48</v>
      </c>
      <c r="C252">
        <v>3</v>
      </c>
      <c r="D252">
        <v>37</v>
      </c>
      <c r="E252" s="13">
        <v>11</v>
      </c>
    </row>
    <row r="253" spans="1:5" x14ac:dyDescent="0.3">
      <c r="A253" s="1">
        <v>45178</v>
      </c>
      <c r="B253">
        <v>80</v>
      </c>
      <c r="C253">
        <v>9</v>
      </c>
      <c r="D253">
        <v>60</v>
      </c>
      <c r="E253" s="13">
        <v>13</v>
      </c>
    </row>
    <row r="254" spans="1:5" x14ac:dyDescent="0.3">
      <c r="A254" s="1">
        <v>45179</v>
      </c>
      <c r="B254">
        <v>45</v>
      </c>
      <c r="C254">
        <v>7</v>
      </c>
      <c r="D254">
        <v>56</v>
      </c>
      <c r="E254" s="13">
        <v>15</v>
      </c>
    </row>
    <row r="255" spans="1:5" x14ac:dyDescent="0.3">
      <c r="A255" s="1">
        <v>45180</v>
      </c>
      <c r="B255">
        <v>56</v>
      </c>
      <c r="C255">
        <v>8</v>
      </c>
      <c r="D255">
        <v>65</v>
      </c>
      <c r="E255" s="13">
        <v>18</v>
      </c>
    </row>
    <row r="256" spans="1:5" x14ac:dyDescent="0.3">
      <c r="A256" s="1">
        <v>45181</v>
      </c>
      <c r="B256">
        <v>44</v>
      </c>
      <c r="C256">
        <v>6</v>
      </c>
      <c r="D256">
        <v>33</v>
      </c>
      <c r="E256" s="13">
        <v>9</v>
      </c>
    </row>
    <row r="257" spans="1:5" x14ac:dyDescent="0.3">
      <c r="A257" s="1">
        <v>45182</v>
      </c>
      <c r="B257">
        <v>70</v>
      </c>
      <c r="C257">
        <v>4</v>
      </c>
      <c r="D257">
        <v>40</v>
      </c>
      <c r="E257" s="13">
        <v>9</v>
      </c>
    </row>
    <row r="258" spans="1:5" x14ac:dyDescent="0.3">
      <c r="A258" s="1">
        <v>45183</v>
      </c>
      <c r="B258">
        <v>64</v>
      </c>
      <c r="C258">
        <v>5</v>
      </c>
      <c r="D258">
        <v>44</v>
      </c>
      <c r="E258" s="13">
        <v>12</v>
      </c>
    </row>
    <row r="259" spans="1:5" x14ac:dyDescent="0.3">
      <c r="A259" s="1">
        <v>45184</v>
      </c>
      <c r="B259">
        <v>65</v>
      </c>
      <c r="C259">
        <v>4</v>
      </c>
      <c r="D259">
        <v>30</v>
      </c>
      <c r="E259" s="13">
        <v>10</v>
      </c>
    </row>
    <row r="260" spans="1:5" x14ac:dyDescent="0.3">
      <c r="A260" s="1">
        <v>45185</v>
      </c>
      <c r="B260">
        <v>61</v>
      </c>
      <c r="C260">
        <v>8</v>
      </c>
      <c r="D260">
        <v>43</v>
      </c>
      <c r="E260" s="13">
        <v>13</v>
      </c>
    </row>
    <row r="261" spans="1:5" x14ac:dyDescent="0.3">
      <c r="A261" s="1">
        <v>45186</v>
      </c>
      <c r="B261">
        <v>84</v>
      </c>
      <c r="C261">
        <v>5</v>
      </c>
      <c r="D261">
        <v>56</v>
      </c>
      <c r="E261" s="13">
        <v>14</v>
      </c>
    </row>
    <row r="262" spans="1:5" x14ac:dyDescent="0.3">
      <c r="A262" s="1">
        <v>45187</v>
      </c>
      <c r="B262">
        <v>78</v>
      </c>
      <c r="C262">
        <v>7</v>
      </c>
      <c r="D262">
        <v>53</v>
      </c>
      <c r="E262" s="13">
        <v>15</v>
      </c>
    </row>
    <row r="263" spans="1:5" x14ac:dyDescent="0.3">
      <c r="A263" s="1">
        <v>45188</v>
      </c>
      <c r="B263">
        <v>78</v>
      </c>
      <c r="C263">
        <v>6</v>
      </c>
      <c r="D263">
        <v>57</v>
      </c>
      <c r="E263" s="13">
        <v>14</v>
      </c>
    </row>
    <row r="264" spans="1:5" x14ac:dyDescent="0.3">
      <c r="A264" s="1">
        <v>45189</v>
      </c>
      <c r="B264">
        <v>44</v>
      </c>
      <c r="C264">
        <v>5</v>
      </c>
      <c r="D264">
        <v>57</v>
      </c>
      <c r="E264" s="13">
        <v>14</v>
      </c>
    </row>
    <row r="265" spans="1:5" x14ac:dyDescent="0.3">
      <c r="A265" s="1">
        <v>45190</v>
      </c>
      <c r="B265">
        <v>51</v>
      </c>
      <c r="C265">
        <v>7</v>
      </c>
      <c r="D265">
        <v>38</v>
      </c>
      <c r="E265" s="13">
        <v>9</v>
      </c>
    </row>
    <row r="266" spans="1:5" x14ac:dyDescent="0.3">
      <c r="A266" s="1">
        <v>45191</v>
      </c>
      <c r="B266">
        <v>60</v>
      </c>
      <c r="C266">
        <v>8</v>
      </c>
      <c r="D266">
        <v>36</v>
      </c>
      <c r="E266" s="13">
        <v>8</v>
      </c>
    </row>
    <row r="267" spans="1:5" x14ac:dyDescent="0.3">
      <c r="A267" s="1">
        <v>45192</v>
      </c>
      <c r="B267">
        <v>78</v>
      </c>
      <c r="C267">
        <v>6</v>
      </c>
      <c r="D267">
        <v>34</v>
      </c>
      <c r="E267" s="13">
        <v>8</v>
      </c>
    </row>
    <row r="268" spans="1:5" x14ac:dyDescent="0.3">
      <c r="A268" s="1">
        <v>45193</v>
      </c>
      <c r="B268">
        <v>75</v>
      </c>
      <c r="C268">
        <v>9</v>
      </c>
      <c r="D268">
        <v>36</v>
      </c>
      <c r="E268" s="13">
        <v>12</v>
      </c>
    </row>
    <row r="269" spans="1:5" x14ac:dyDescent="0.3">
      <c r="A269" s="1">
        <v>45194</v>
      </c>
      <c r="B269">
        <v>58</v>
      </c>
      <c r="C269">
        <v>5</v>
      </c>
      <c r="D269">
        <v>47</v>
      </c>
      <c r="E269" s="13">
        <v>12</v>
      </c>
    </row>
    <row r="270" spans="1:5" x14ac:dyDescent="0.3">
      <c r="A270" s="1">
        <v>45195</v>
      </c>
      <c r="B270">
        <v>65</v>
      </c>
      <c r="C270">
        <v>8</v>
      </c>
      <c r="D270">
        <v>57</v>
      </c>
      <c r="E270" s="13">
        <v>16</v>
      </c>
    </row>
    <row r="271" spans="1:5" x14ac:dyDescent="0.3">
      <c r="A271" s="1">
        <v>45196</v>
      </c>
      <c r="B271">
        <v>66</v>
      </c>
      <c r="C271">
        <v>4</v>
      </c>
      <c r="D271">
        <v>62</v>
      </c>
      <c r="E271" s="13">
        <v>17</v>
      </c>
    </row>
    <row r="272" spans="1:5" x14ac:dyDescent="0.3">
      <c r="A272" s="1">
        <v>45197</v>
      </c>
      <c r="B272">
        <v>81</v>
      </c>
      <c r="C272">
        <v>6</v>
      </c>
      <c r="D272">
        <v>30</v>
      </c>
      <c r="E272" s="13">
        <v>8</v>
      </c>
    </row>
    <row r="273" spans="1:5" x14ac:dyDescent="0.3">
      <c r="A273" s="1">
        <v>45198</v>
      </c>
      <c r="B273">
        <v>38</v>
      </c>
      <c r="C273">
        <v>4</v>
      </c>
      <c r="D273">
        <v>61</v>
      </c>
      <c r="E273" s="13">
        <v>16</v>
      </c>
    </row>
    <row r="274" spans="1:5" x14ac:dyDescent="0.3">
      <c r="A274" s="1">
        <v>45199</v>
      </c>
      <c r="B274">
        <v>60</v>
      </c>
      <c r="C274">
        <v>6</v>
      </c>
      <c r="D274">
        <v>52</v>
      </c>
      <c r="E274" s="13">
        <v>14</v>
      </c>
    </row>
    <row r="275" spans="1:5" x14ac:dyDescent="0.3">
      <c r="A275" s="1">
        <v>45200</v>
      </c>
      <c r="B275">
        <v>53</v>
      </c>
      <c r="C275">
        <v>6</v>
      </c>
      <c r="D275">
        <v>62</v>
      </c>
      <c r="E275" s="13">
        <v>17</v>
      </c>
    </row>
    <row r="276" spans="1:5" x14ac:dyDescent="0.3">
      <c r="A276" s="1">
        <v>45201</v>
      </c>
      <c r="B276">
        <v>71</v>
      </c>
      <c r="C276">
        <v>7</v>
      </c>
      <c r="D276">
        <v>56</v>
      </c>
      <c r="E276" s="13">
        <v>12</v>
      </c>
    </row>
    <row r="277" spans="1:5" x14ac:dyDescent="0.3">
      <c r="A277" s="1">
        <v>45202</v>
      </c>
      <c r="B277">
        <v>50</v>
      </c>
      <c r="C277">
        <v>7</v>
      </c>
      <c r="D277">
        <v>58</v>
      </c>
      <c r="E277" s="13">
        <v>16</v>
      </c>
    </row>
    <row r="278" spans="1:5" x14ac:dyDescent="0.3">
      <c r="A278" s="1">
        <v>45203</v>
      </c>
      <c r="B278">
        <v>43</v>
      </c>
      <c r="C278">
        <v>5</v>
      </c>
      <c r="D278">
        <v>69</v>
      </c>
      <c r="E278" s="13">
        <v>19</v>
      </c>
    </row>
    <row r="279" spans="1:5" x14ac:dyDescent="0.3">
      <c r="A279" s="1">
        <v>45204</v>
      </c>
      <c r="B279">
        <v>77</v>
      </c>
      <c r="C279">
        <v>5</v>
      </c>
      <c r="D279">
        <v>57</v>
      </c>
      <c r="E279" s="13">
        <v>13</v>
      </c>
    </row>
    <row r="280" spans="1:5" x14ac:dyDescent="0.3">
      <c r="A280" s="1">
        <v>45205</v>
      </c>
      <c r="B280">
        <v>40</v>
      </c>
      <c r="C280">
        <v>5</v>
      </c>
      <c r="D280">
        <v>25</v>
      </c>
      <c r="E280" s="13">
        <v>9</v>
      </c>
    </row>
    <row r="281" spans="1:5" x14ac:dyDescent="0.3">
      <c r="A281" s="1">
        <v>45206</v>
      </c>
      <c r="B281">
        <v>70</v>
      </c>
      <c r="C281">
        <v>6</v>
      </c>
      <c r="D281">
        <v>35</v>
      </c>
      <c r="E281" s="13">
        <v>9</v>
      </c>
    </row>
    <row r="282" spans="1:5" x14ac:dyDescent="0.3">
      <c r="A282" s="1">
        <v>45207</v>
      </c>
      <c r="B282">
        <v>71</v>
      </c>
      <c r="C282">
        <v>7</v>
      </c>
      <c r="D282">
        <v>42</v>
      </c>
      <c r="E282" s="13">
        <v>9</v>
      </c>
    </row>
    <row r="283" spans="1:5" x14ac:dyDescent="0.3">
      <c r="A283" s="1">
        <v>45208</v>
      </c>
      <c r="B283">
        <v>66</v>
      </c>
      <c r="C283">
        <v>5</v>
      </c>
      <c r="D283">
        <v>55</v>
      </c>
      <c r="E283" s="13">
        <v>15</v>
      </c>
    </row>
    <row r="284" spans="1:5" x14ac:dyDescent="0.3">
      <c r="A284" s="1">
        <v>45209</v>
      </c>
      <c r="B284">
        <v>80</v>
      </c>
      <c r="C284">
        <v>6</v>
      </c>
      <c r="D284">
        <v>36</v>
      </c>
      <c r="E284" s="13">
        <v>11</v>
      </c>
    </row>
    <row r="285" spans="1:5" x14ac:dyDescent="0.3">
      <c r="A285" s="1">
        <v>45210</v>
      </c>
      <c r="B285">
        <v>43</v>
      </c>
      <c r="C285">
        <v>6</v>
      </c>
      <c r="D285">
        <v>28</v>
      </c>
      <c r="E285" s="13">
        <v>8</v>
      </c>
    </row>
    <row r="286" spans="1:5" x14ac:dyDescent="0.3">
      <c r="A286" s="1">
        <v>45211</v>
      </c>
      <c r="B286">
        <v>50</v>
      </c>
      <c r="C286">
        <v>4</v>
      </c>
      <c r="D286">
        <v>39</v>
      </c>
      <c r="E286" s="13">
        <v>10</v>
      </c>
    </row>
    <row r="287" spans="1:5" x14ac:dyDescent="0.3">
      <c r="A287" s="1">
        <v>45212</v>
      </c>
      <c r="B287">
        <v>89</v>
      </c>
      <c r="C287">
        <v>6</v>
      </c>
      <c r="D287">
        <v>36</v>
      </c>
      <c r="E287" s="13">
        <v>8</v>
      </c>
    </row>
    <row r="288" spans="1:5" x14ac:dyDescent="0.3">
      <c r="A288" s="1">
        <v>45213</v>
      </c>
      <c r="B288">
        <v>68</v>
      </c>
      <c r="C288">
        <v>8</v>
      </c>
      <c r="D288">
        <v>58</v>
      </c>
      <c r="E288" s="13">
        <v>13</v>
      </c>
    </row>
    <row r="289" spans="1:5" x14ac:dyDescent="0.3">
      <c r="A289" s="1">
        <v>45214</v>
      </c>
      <c r="B289">
        <v>52</v>
      </c>
      <c r="C289">
        <v>4</v>
      </c>
      <c r="D289">
        <v>44</v>
      </c>
      <c r="E289" s="13">
        <v>11</v>
      </c>
    </row>
    <row r="290" spans="1:5" x14ac:dyDescent="0.3">
      <c r="A290" s="1">
        <v>45215</v>
      </c>
      <c r="B290">
        <v>51</v>
      </c>
      <c r="C290">
        <v>8</v>
      </c>
      <c r="D290">
        <v>51</v>
      </c>
      <c r="E290" s="13">
        <v>12</v>
      </c>
    </row>
    <row r="291" spans="1:5" x14ac:dyDescent="0.3">
      <c r="A291" s="1">
        <v>45216</v>
      </c>
      <c r="B291">
        <v>40</v>
      </c>
      <c r="C291">
        <v>7</v>
      </c>
      <c r="D291">
        <v>46</v>
      </c>
      <c r="E291" s="13">
        <v>14</v>
      </c>
    </row>
    <row r="292" spans="1:5" x14ac:dyDescent="0.3">
      <c r="A292" s="1">
        <v>45217</v>
      </c>
      <c r="B292">
        <v>40</v>
      </c>
      <c r="C292">
        <v>3</v>
      </c>
      <c r="D292">
        <v>51</v>
      </c>
      <c r="E292" s="13">
        <v>11</v>
      </c>
    </row>
    <row r="293" spans="1:5" x14ac:dyDescent="0.3">
      <c r="A293" s="1">
        <v>45218</v>
      </c>
      <c r="B293">
        <v>50</v>
      </c>
      <c r="C293">
        <v>5</v>
      </c>
      <c r="D293">
        <v>53</v>
      </c>
      <c r="E293" s="13">
        <v>13</v>
      </c>
    </row>
    <row r="294" spans="1:5" x14ac:dyDescent="0.3">
      <c r="A294" s="1">
        <v>45219</v>
      </c>
      <c r="B294">
        <v>65</v>
      </c>
      <c r="C294">
        <v>5</v>
      </c>
      <c r="D294">
        <v>49</v>
      </c>
      <c r="E294" s="13">
        <v>13</v>
      </c>
    </row>
    <row r="295" spans="1:5" x14ac:dyDescent="0.3">
      <c r="A295" s="1">
        <v>45220</v>
      </c>
      <c r="B295">
        <v>47</v>
      </c>
      <c r="C295">
        <v>7</v>
      </c>
      <c r="D295">
        <v>65</v>
      </c>
      <c r="E295" s="13">
        <v>16</v>
      </c>
    </row>
    <row r="296" spans="1:5" x14ac:dyDescent="0.3">
      <c r="A296" s="1">
        <v>45221</v>
      </c>
      <c r="B296">
        <v>77</v>
      </c>
      <c r="C296">
        <v>5</v>
      </c>
      <c r="D296">
        <v>63</v>
      </c>
      <c r="E296" s="13">
        <v>18</v>
      </c>
    </row>
    <row r="297" spans="1:5" x14ac:dyDescent="0.3">
      <c r="A297" s="1">
        <v>45222</v>
      </c>
      <c r="B297">
        <v>55</v>
      </c>
      <c r="C297">
        <v>6</v>
      </c>
      <c r="D297">
        <v>70</v>
      </c>
      <c r="E297" s="13">
        <v>17</v>
      </c>
    </row>
    <row r="298" spans="1:5" x14ac:dyDescent="0.3">
      <c r="A298" s="1">
        <v>45223</v>
      </c>
      <c r="B298">
        <v>74</v>
      </c>
      <c r="C298">
        <v>6</v>
      </c>
      <c r="D298">
        <v>43</v>
      </c>
      <c r="E298" s="13">
        <v>11</v>
      </c>
    </row>
    <row r="299" spans="1:5" x14ac:dyDescent="0.3">
      <c r="A299" s="1">
        <v>45224</v>
      </c>
      <c r="B299">
        <v>76</v>
      </c>
      <c r="C299">
        <v>8</v>
      </c>
      <c r="D299">
        <v>46</v>
      </c>
      <c r="E299" s="13">
        <v>13</v>
      </c>
    </row>
    <row r="300" spans="1:5" x14ac:dyDescent="0.3">
      <c r="A300" s="1">
        <v>45225</v>
      </c>
      <c r="B300">
        <v>52</v>
      </c>
      <c r="C300">
        <v>8</v>
      </c>
      <c r="D300">
        <v>62</v>
      </c>
      <c r="E300" s="13">
        <v>13</v>
      </c>
    </row>
    <row r="301" spans="1:5" x14ac:dyDescent="0.3">
      <c r="A301" s="1">
        <v>45226</v>
      </c>
      <c r="B301">
        <v>67</v>
      </c>
      <c r="C301">
        <v>7</v>
      </c>
      <c r="D301">
        <v>56</v>
      </c>
      <c r="E301" s="13">
        <v>12</v>
      </c>
    </row>
    <row r="302" spans="1:5" x14ac:dyDescent="0.3">
      <c r="A302" s="1">
        <v>45227</v>
      </c>
      <c r="B302">
        <v>48</v>
      </c>
      <c r="C302">
        <v>4</v>
      </c>
      <c r="D302">
        <v>54</v>
      </c>
      <c r="E302" s="13">
        <v>16</v>
      </c>
    </row>
    <row r="303" spans="1:5" x14ac:dyDescent="0.3">
      <c r="A303" s="1">
        <v>45228</v>
      </c>
      <c r="B303">
        <v>63</v>
      </c>
      <c r="C303">
        <v>7</v>
      </c>
      <c r="D303">
        <v>34</v>
      </c>
      <c r="E303" s="13">
        <v>10</v>
      </c>
    </row>
    <row r="304" spans="1:5" x14ac:dyDescent="0.3">
      <c r="A304" s="1">
        <v>45229</v>
      </c>
      <c r="B304">
        <v>54</v>
      </c>
      <c r="C304">
        <v>6</v>
      </c>
      <c r="D304">
        <v>64</v>
      </c>
      <c r="E304" s="13">
        <v>18</v>
      </c>
    </row>
    <row r="305" spans="1:5" x14ac:dyDescent="0.3">
      <c r="A305" s="1">
        <v>45230</v>
      </c>
      <c r="B305">
        <v>38</v>
      </c>
      <c r="C305">
        <v>5</v>
      </c>
      <c r="D305">
        <v>64</v>
      </c>
      <c r="E305" s="13">
        <v>18</v>
      </c>
    </row>
    <row r="306" spans="1:5" x14ac:dyDescent="0.3">
      <c r="A306" s="1">
        <v>45231</v>
      </c>
      <c r="B306">
        <v>75</v>
      </c>
      <c r="C306">
        <v>8</v>
      </c>
      <c r="D306">
        <v>71</v>
      </c>
      <c r="E306" s="13">
        <v>16</v>
      </c>
    </row>
    <row r="307" spans="1:5" x14ac:dyDescent="0.3">
      <c r="A307" s="1">
        <v>45232</v>
      </c>
      <c r="B307">
        <v>73</v>
      </c>
      <c r="C307">
        <v>6</v>
      </c>
      <c r="D307">
        <v>28</v>
      </c>
      <c r="E307" s="13">
        <v>10</v>
      </c>
    </row>
    <row r="308" spans="1:5" x14ac:dyDescent="0.3">
      <c r="A308" s="1">
        <v>45233</v>
      </c>
      <c r="B308">
        <v>52</v>
      </c>
      <c r="C308">
        <v>4</v>
      </c>
      <c r="D308">
        <v>39</v>
      </c>
      <c r="E308" s="13">
        <v>11</v>
      </c>
    </row>
    <row r="309" spans="1:5" x14ac:dyDescent="0.3">
      <c r="A309" s="1">
        <v>45234</v>
      </c>
      <c r="B309">
        <v>49</v>
      </c>
      <c r="C309">
        <v>6</v>
      </c>
      <c r="D309">
        <v>53</v>
      </c>
      <c r="E309" s="13">
        <v>13</v>
      </c>
    </row>
    <row r="310" spans="1:5" x14ac:dyDescent="0.3">
      <c r="A310" s="1">
        <v>45235</v>
      </c>
      <c r="B310">
        <v>47</v>
      </c>
      <c r="C310">
        <v>3</v>
      </c>
      <c r="D310">
        <v>35</v>
      </c>
      <c r="E310" s="13">
        <v>9</v>
      </c>
    </row>
    <row r="311" spans="1:5" x14ac:dyDescent="0.3">
      <c r="A311" s="1">
        <v>45236</v>
      </c>
      <c r="B311">
        <v>65</v>
      </c>
      <c r="C311">
        <v>8</v>
      </c>
      <c r="D311">
        <v>46</v>
      </c>
      <c r="E311" s="13">
        <v>11</v>
      </c>
    </row>
    <row r="312" spans="1:5" x14ac:dyDescent="0.3">
      <c r="A312" s="1">
        <v>45237</v>
      </c>
      <c r="B312">
        <v>79</v>
      </c>
      <c r="C312">
        <v>9</v>
      </c>
      <c r="D312">
        <v>33</v>
      </c>
      <c r="E312" s="13">
        <v>8</v>
      </c>
    </row>
    <row r="313" spans="1:5" x14ac:dyDescent="0.3">
      <c r="A313" s="1">
        <v>45238</v>
      </c>
      <c r="B313">
        <v>43</v>
      </c>
      <c r="C313">
        <v>5</v>
      </c>
      <c r="D313">
        <v>40</v>
      </c>
      <c r="E313" s="13">
        <v>11</v>
      </c>
    </row>
    <row r="314" spans="1:5" x14ac:dyDescent="0.3">
      <c r="A314" s="1">
        <v>45239</v>
      </c>
      <c r="B314">
        <v>58</v>
      </c>
      <c r="C314">
        <v>4</v>
      </c>
      <c r="D314">
        <v>38</v>
      </c>
      <c r="E314" s="13">
        <v>13</v>
      </c>
    </row>
    <row r="315" spans="1:5" x14ac:dyDescent="0.3">
      <c r="A315" s="1">
        <v>45240</v>
      </c>
      <c r="B315">
        <v>52</v>
      </c>
      <c r="C315">
        <v>4</v>
      </c>
      <c r="D315">
        <v>57</v>
      </c>
      <c r="E315" s="13">
        <v>12</v>
      </c>
    </row>
    <row r="316" spans="1:5" x14ac:dyDescent="0.3">
      <c r="A316" s="1">
        <v>45241</v>
      </c>
      <c r="B316">
        <v>44</v>
      </c>
      <c r="C316">
        <v>4</v>
      </c>
      <c r="D316">
        <v>65</v>
      </c>
      <c r="E316" s="13">
        <v>16</v>
      </c>
    </row>
    <row r="317" spans="1:5" x14ac:dyDescent="0.3">
      <c r="A317" s="1">
        <v>45242</v>
      </c>
      <c r="B317">
        <v>44</v>
      </c>
      <c r="C317">
        <v>4</v>
      </c>
      <c r="D317">
        <v>61</v>
      </c>
      <c r="E317" s="13">
        <v>14</v>
      </c>
    </row>
    <row r="318" spans="1:5" x14ac:dyDescent="0.3">
      <c r="A318" s="1">
        <v>45243</v>
      </c>
      <c r="B318">
        <v>61</v>
      </c>
      <c r="C318">
        <v>5</v>
      </c>
      <c r="D318">
        <v>43</v>
      </c>
      <c r="E318" s="13">
        <v>11</v>
      </c>
    </row>
    <row r="319" spans="1:5" x14ac:dyDescent="0.3">
      <c r="A319" s="1">
        <v>45244</v>
      </c>
      <c r="B319">
        <v>84</v>
      </c>
      <c r="C319">
        <v>6</v>
      </c>
      <c r="D319">
        <v>48</v>
      </c>
      <c r="E319" s="13">
        <v>12</v>
      </c>
    </row>
    <row r="320" spans="1:5" x14ac:dyDescent="0.3">
      <c r="A320" s="1">
        <v>45245</v>
      </c>
      <c r="B320">
        <v>53</v>
      </c>
      <c r="C320">
        <v>7</v>
      </c>
      <c r="D320">
        <v>64</v>
      </c>
      <c r="E320" s="13">
        <v>17</v>
      </c>
    </row>
    <row r="321" spans="1:5" x14ac:dyDescent="0.3">
      <c r="A321" s="1">
        <v>45246</v>
      </c>
      <c r="B321">
        <v>60</v>
      </c>
      <c r="C321">
        <v>6</v>
      </c>
      <c r="D321">
        <v>37</v>
      </c>
      <c r="E321" s="13">
        <v>12</v>
      </c>
    </row>
    <row r="322" spans="1:5" x14ac:dyDescent="0.3">
      <c r="A322" s="1">
        <v>45247</v>
      </c>
      <c r="B322">
        <v>79</v>
      </c>
      <c r="C322">
        <v>8</v>
      </c>
      <c r="D322">
        <v>51</v>
      </c>
      <c r="E322" s="13">
        <v>11</v>
      </c>
    </row>
    <row r="323" spans="1:5" x14ac:dyDescent="0.3">
      <c r="A323" s="1">
        <v>45248</v>
      </c>
      <c r="B323">
        <v>85</v>
      </c>
      <c r="C323">
        <v>8</v>
      </c>
      <c r="D323">
        <v>59</v>
      </c>
      <c r="E323" s="13">
        <v>14</v>
      </c>
    </row>
    <row r="324" spans="1:5" x14ac:dyDescent="0.3">
      <c r="A324" s="1">
        <v>45249</v>
      </c>
      <c r="B324">
        <v>74</v>
      </c>
      <c r="C324">
        <v>8</v>
      </c>
      <c r="D324">
        <v>59</v>
      </c>
      <c r="E324" s="13">
        <v>16</v>
      </c>
    </row>
    <row r="325" spans="1:5" x14ac:dyDescent="0.3">
      <c r="A325" s="1">
        <v>45250</v>
      </c>
      <c r="B325">
        <v>69</v>
      </c>
      <c r="C325">
        <v>5</v>
      </c>
      <c r="D325">
        <v>34</v>
      </c>
      <c r="E325" s="13">
        <v>9</v>
      </c>
    </row>
    <row r="326" spans="1:5" x14ac:dyDescent="0.3">
      <c r="A326" s="1">
        <v>45251</v>
      </c>
      <c r="B326">
        <v>51</v>
      </c>
      <c r="C326">
        <v>5</v>
      </c>
      <c r="D326">
        <v>57</v>
      </c>
      <c r="E326" s="13">
        <v>12</v>
      </c>
    </row>
    <row r="327" spans="1:5" x14ac:dyDescent="0.3">
      <c r="A327" s="1">
        <v>45252</v>
      </c>
      <c r="B327">
        <v>51</v>
      </c>
      <c r="C327">
        <v>6</v>
      </c>
      <c r="D327">
        <v>36</v>
      </c>
      <c r="E327" s="13">
        <v>10</v>
      </c>
    </row>
    <row r="328" spans="1:5" x14ac:dyDescent="0.3">
      <c r="A328" s="1">
        <v>45253</v>
      </c>
      <c r="B328">
        <v>81</v>
      </c>
      <c r="C328">
        <v>8</v>
      </c>
      <c r="D328">
        <v>57</v>
      </c>
      <c r="E328" s="13">
        <v>16</v>
      </c>
    </row>
    <row r="329" spans="1:5" x14ac:dyDescent="0.3">
      <c r="A329" s="1">
        <v>45254</v>
      </c>
      <c r="B329">
        <v>70</v>
      </c>
      <c r="C329">
        <v>7</v>
      </c>
      <c r="D329">
        <v>55</v>
      </c>
      <c r="E329" s="13">
        <v>16</v>
      </c>
    </row>
    <row r="330" spans="1:5" x14ac:dyDescent="0.3">
      <c r="A330" s="1">
        <v>45255</v>
      </c>
      <c r="B330">
        <v>58</v>
      </c>
      <c r="C330">
        <v>5</v>
      </c>
      <c r="D330">
        <v>32</v>
      </c>
      <c r="E330" s="13">
        <v>8</v>
      </c>
    </row>
    <row r="331" spans="1:5" x14ac:dyDescent="0.3">
      <c r="A331" s="1">
        <v>45256</v>
      </c>
      <c r="B331">
        <v>77</v>
      </c>
      <c r="C331">
        <v>5</v>
      </c>
      <c r="D331">
        <v>56</v>
      </c>
      <c r="E331" s="13">
        <v>12</v>
      </c>
    </row>
    <row r="332" spans="1:5" x14ac:dyDescent="0.3">
      <c r="A332" s="1">
        <v>45257</v>
      </c>
      <c r="B332">
        <v>58</v>
      </c>
      <c r="C332">
        <v>8</v>
      </c>
      <c r="D332">
        <v>68</v>
      </c>
      <c r="E332" s="13">
        <v>15</v>
      </c>
    </row>
    <row r="333" spans="1:5" x14ac:dyDescent="0.3">
      <c r="A333" s="1">
        <v>45258</v>
      </c>
      <c r="B333">
        <v>46</v>
      </c>
      <c r="C333">
        <v>3</v>
      </c>
      <c r="D333">
        <v>49</v>
      </c>
      <c r="E333" s="13">
        <v>11</v>
      </c>
    </row>
    <row r="334" spans="1:5" x14ac:dyDescent="0.3">
      <c r="A334" s="1">
        <v>45259</v>
      </c>
      <c r="B334">
        <v>41</v>
      </c>
      <c r="C334">
        <v>7</v>
      </c>
      <c r="D334">
        <v>40</v>
      </c>
      <c r="E334" s="13">
        <v>11</v>
      </c>
    </row>
    <row r="335" spans="1:5" x14ac:dyDescent="0.3">
      <c r="A335" s="1">
        <v>45260</v>
      </c>
      <c r="B335">
        <v>68</v>
      </c>
      <c r="C335">
        <v>5</v>
      </c>
      <c r="D335">
        <v>56</v>
      </c>
      <c r="E335" s="13">
        <v>13</v>
      </c>
    </row>
    <row r="336" spans="1:5" x14ac:dyDescent="0.3">
      <c r="A336" s="1">
        <v>45261</v>
      </c>
      <c r="B336">
        <v>67</v>
      </c>
      <c r="C336">
        <v>5</v>
      </c>
      <c r="D336">
        <v>59</v>
      </c>
      <c r="E336" s="13">
        <v>17</v>
      </c>
    </row>
    <row r="337" spans="1:5" x14ac:dyDescent="0.3">
      <c r="A337" s="1">
        <v>45262</v>
      </c>
      <c r="B337">
        <v>45</v>
      </c>
      <c r="C337">
        <v>3</v>
      </c>
      <c r="D337">
        <v>37</v>
      </c>
      <c r="E337" s="13">
        <v>11</v>
      </c>
    </row>
    <row r="338" spans="1:5" x14ac:dyDescent="0.3">
      <c r="A338" s="1">
        <v>45263</v>
      </c>
      <c r="B338">
        <v>42</v>
      </c>
      <c r="C338">
        <v>6</v>
      </c>
      <c r="D338">
        <v>67</v>
      </c>
      <c r="E338" s="13">
        <v>18</v>
      </c>
    </row>
    <row r="339" spans="1:5" x14ac:dyDescent="0.3">
      <c r="A339" s="1">
        <v>45264</v>
      </c>
      <c r="B339">
        <v>50</v>
      </c>
      <c r="C339">
        <v>5</v>
      </c>
      <c r="D339">
        <v>36</v>
      </c>
      <c r="E339" s="13">
        <v>9</v>
      </c>
    </row>
    <row r="340" spans="1:5" x14ac:dyDescent="0.3">
      <c r="A340" s="1">
        <v>45265</v>
      </c>
      <c r="B340">
        <v>75</v>
      </c>
      <c r="C340">
        <v>9</v>
      </c>
      <c r="D340">
        <v>33</v>
      </c>
      <c r="E340" s="13">
        <v>8</v>
      </c>
    </row>
    <row r="341" spans="1:5" x14ac:dyDescent="0.3">
      <c r="A341" s="1">
        <v>45266</v>
      </c>
      <c r="B341">
        <v>59</v>
      </c>
      <c r="C341">
        <v>6</v>
      </c>
      <c r="D341">
        <v>37</v>
      </c>
      <c r="E341" s="13">
        <v>10</v>
      </c>
    </row>
    <row r="342" spans="1:5" x14ac:dyDescent="0.3">
      <c r="A342" s="1">
        <v>45267</v>
      </c>
      <c r="B342">
        <v>70</v>
      </c>
      <c r="C342">
        <v>5</v>
      </c>
      <c r="D342">
        <v>45</v>
      </c>
      <c r="E342" s="13">
        <v>12</v>
      </c>
    </row>
    <row r="343" spans="1:5" x14ac:dyDescent="0.3">
      <c r="A343" s="1">
        <v>45268</v>
      </c>
      <c r="B343">
        <v>44</v>
      </c>
      <c r="C343">
        <v>3</v>
      </c>
      <c r="D343">
        <v>67</v>
      </c>
      <c r="E343" s="13">
        <v>15</v>
      </c>
    </row>
    <row r="344" spans="1:5" x14ac:dyDescent="0.3">
      <c r="A344" s="1">
        <v>45269</v>
      </c>
      <c r="B344">
        <v>85</v>
      </c>
      <c r="C344">
        <v>7</v>
      </c>
      <c r="D344">
        <v>36</v>
      </c>
      <c r="E344" s="13">
        <v>9</v>
      </c>
    </row>
    <row r="345" spans="1:5" x14ac:dyDescent="0.3">
      <c r="A345" s="1">
        <v>45270</v>
      </c>
      <c r="B345">
        <v>31</v>
      </c>
      <c r="C345">
        <v>4</v>
      </c>
      <c r="D345">
        <v>67</v>
      </c>
      <c r="E345" s="13">
        <v>14</v>
      </c>
    </row>
    <row r="346" spans="1:5" x14ac:dyDescent="0.3">
      <c r="A346" s="1">
        <v>45271</v>
      </c>
      <c r="B346">
        <v>50</v>
      </c>
      <c r="C346">
        <v>5</v>
      </c>
      <c r="D346">
        <v>61</v>
      </c>
      <c r="E346" s="13">
        <v>15</v>
      </c>
    </row>
    <row r="347" spans="1:5" x14ac:dyDescent="0.3">
      <c r="A347" s="1">
        <v>45272</v>
      </c>
      <c r="B347">
        <v>54</v>
      </c>
      <c r="C347">
        <v>4</v>
      </c>
      <c r="D347">
        <v>53</v>
      </c>
      <c r="E347" s="13">
        <v>13</v>
      </c>
    </row>
    <row r="348" spans="1:5" x14ac:dyDescent="0.3">
      <c r="A348" s="1">
        <v>45273</v>
      </c>
      <c r="B348">
        <v>55</v>
      </c>
      <c r="C348">
        <v>7</v>
      </c>
      <c r="D348">
        <v>64</v>
      </c>
      <c r="E348" s="13">
        <v>14</v>
      </c>
    </row>
    <row r="349" spans="1:5" x14ac:dyDescent="0.3">
      <c r="A349" s="1">
        <v>45274</v>
      </c>
      <c r="B349">
        <v>59</v>
      </c>
      <c r="C349">
        <v>5</v>
      </c>
      <c r="D349">
        <v>46</v>
      </c>
      <c r="E349" s="13">
        <v>13</v>
      </c>
    </row>
    <row r="350" spans="1:5" x14ac:dyDescent="0.3">
      <c r="A350" s="1">
        <v>45275</v>
      </c>
      <c r="B350">
        <v>77</v>
      </c>
      <c r="C350">
        <v>5</v>
      </c>
      <c r="D350">
        <v>45</v>
      </c>
      <c r="E350" s="13">
        <v>11</v>
      </c>
    </row>
    <row r="351" spans="1:5" x14ac:dyDescent="0.3">
      <c r="A351" s="1">
        <v>45276</v>
      </c>
      <c r="B351">
        <v>89</v>
      </c>
      <c r="C351">
        <v>5</v>
      </c>
      <c r="D351">
        <v>72</v>
      </c>
      <c r="E351" s="13">
        <v>16</v>
      </c>
    </row>
    <row r="352" spans="1:5" x14ac:dyDescent="0.3">
      <c r="A352" s="1">
        <v>45277</v>
      </c>
      <c r="B352">
        <v>64</v>
      </c>
      <c r="C352">
        <v>6</v>
      </c>
      <c r="D352">
        <v>40</v>
      </c>
      <c r="E352" s="13">
        <v>11</v>
      </c>
    </row>
    <row r="353" spans="1:5" x14ac:dyDescent="0.3">
      <c r="A353" s="1">
        <v>45278</v>
      </c>
      <c r="B353">
        <v>57</v>
      </c>
      <c r="C353">
        <v>5</v>
      </c>
      <c r="D353">
        <v>54</v>
      </c>
      <c r="E353" s="13">
        <v>13</v>
      </c>
    </row>
    <row r="354" spans="1:5" x14ac:dyDescent="0.3">
      <c r="A354" s="1">
        <v>45279</v>
      </c>
      <c r="B354">
        <v>74</v>
      </c>
      <c r="C354">
        <v>7</v>
      </c>
      <c r="D354">
        <v>58</v>
      </c>
      <c r="E354" s="13">
        <v>13</v>
      </c>
    </row>
    <row r="355" spans="1:5" x14ac:dyDescent="0.3">
      <c r="A355" s="1">
        <v>45280</v>
      </c>
      <c r="B355">
        <v>59</v>
      </c>
      <c r="C355">
        <v>7</v>
      </c>
      <c r="D355">
        <v>39</v>
      </c>
      <c r="E355" s="13">
        <v>12</v>
      </c>
    </row>
    <row r="356" spans="1:5" x14ac:dyDescent="0.3">
      <c r="A356" s="1">
        <v>45281</v>
      </c>
      <c r="B356">
        <v>41</v>
      </c>
      <c r="C356">
        <v>3</v>
      </c>
      <c r="D356">
        <v>62</v>
      </c>
      <c r="E356" s="13">
        <v>13</v>
      </c>
    </row>
    <row r="357" spans="1:5" x14ac:dyDescent="0.3">
      <c r="A357" s="1">
        <v>45282</v>
      </c>
      <c r="B357">
        <v>64</v>
      </c>
      <c r="C357">
        <v>8</v>
      </c>
      <c r="D357">
        <v>73</v>
      </c>
      <c r="E357" s="13">
        <v>18</v>
      </c>
    </row>
    <row r="358" spans="1:5" x14ac:dyDescent="0.3">
      <c r="A358" s="1">
        <v>45283</v>
      </c>
      <c r="B358">
        <v>45</v>
      </c>
      <c r="C358">
        <v>3</v>
      </c>
      <c r="D358">
        <v>48</v>
      </c>
      <c r="E358" s="13">
        <v>12</v>
      </c>
    </row>
    <row r="359" spans="1:5" x14ac:dyDescent="0.3">
      <c r="A359" s="1">
        <v>45284</v>
      </c>
      <c r="B359">
        <v>34</v>
      </c>
      <c r="C359">
        <v>6</v>
      </c>
      <c r="D359">
        <v>63</v>
      </c>
      <c r="E359" s="13">
        <v>17</v>
      </c>
    </row>
    <row r="360" spans="1:5" x14ac:dyDescent="0.3">
      <c r="A360" s="1">
        <v>45285</v>
      </c>
      <c r="B360">
        <v>77</v>
      </c>
      <c r="C360">
        <v>5</v>
      </c>
      <c r="D360">
        <v>63</v>
      </c>
      <c r="E360" s="13">
        <v>18</v>
      </c>
    </row>
    <row r="361" spans="1:5" x14ac:dyDescent="0.3">
      <c r="A361" s="1">
        <v>45286</v>
      </c>
      <c r="B361">
        <v>38</v>
      </c>
      <c r="C361">
        <v>7</v>
      </c>
      <c r="D361">
        <v>33</v>
      </c>
      <c r="E361" s="13">
        <v>12</v>
      </c>
    </row>
    <row r="362" spans="1:5" x14ac:dyDescent="0.3">
      <c r="A362" s="1">
        <v>45287</v>
      </c>
      <c r="B362">
        <v>72</v>
      </c>
      <c r="C362">
        <v>9</v>
      </c>
      <c r="D362">
        <v>51</v>
      </c>
      <c r="E362" s="13">
        <v>13</v>
      </c>
    </row>
    <row r="363" spans="1:5" x14ac:dyDescent="0.3">
      <c r="A363" s="1">
        <v>45288</v>
      </c>
      <c r="B363">
        <v>49</v>
      </c>
      <c r="C363">
        <v>6</v>
      </c>
      <c r="D363">
        <v>69</v>
      </c>
      <c r="E363" s="13">
        <v>18</v>
      </c>
    </row>
    <row r="364" spans="1:5" x14ac:dyDescent="0.3">
      <c r="A364" s="1">
        <v>45289</v>
      </c>
      <c r="B364">
        <v>62</v>
      </c>
      <c r="C364">
        <v>6</v>
      </c>
      <c r="D364">
        <v>44</v>
      </c>
      <c r="E364" s="13">
        <v>13</v>
      </c>
    </row>
    <row r="365" spans="1:5" x14ac:dyDescent="0.3">
      <c r="A365" s="1">
        <v>45290</v>
      </c>
      <c r="B365">
        <v>71</v>
      </c>
      <c r="C365">
        <v>6</v>
      </c>
      <c r="D365">
        <v>37</v>
      </c>
      <c r="E365" s="13">
        <v>8</v>
      </c>
    </row>
    <row r="366" spans="1:5" x14ac:dyDescent="0.3">
      <c r="A366" s="1">
        <v>45291</v>
      </c>
      <c r="B366">
        <v>47</v>
      </c>
      <c r="C366">
        <v>6</v>
      </c>
      <c r="D366">
        <v>60</v>
      </c>
      <c r="E366" s="13">
        <v>17</v>
      </c>
    </row>
    <row r="367" spans="1:5" x14ac:dyDescent="0.3">
      <c r="A367" s="1"/>
      <c r="E367" s="14"/>
    </row>
    <row r="368" spans="1:5" x14ac:dyDescent="0.3">
      <c r="A368" s="1"/>
      <c r="E368" s="14"/>
    </row>
    <row r="369" spans="1:5" x14ac:dyDescent="0.3">
      <c r="A369" s="1"/>
      <c r="E369" s="14"/>
    </row>
    <row r="370" spans="1:5" x14ac:dyDescent="0.3">
      <c r="A370" s="1"/>
      <c r="E370" s="14"/>
    </row>
    <row r="371" spans="1:5" x14ac:dyDescent="0.3">
      <c r="A371" s="1"/>
      <c r="E371" s="14"/>
    </row>
    <row r="372" spans="1:5" x14ac:dyDescent="0.3">
      <c r="A372" s="1"/>
      <c r="E372" s="14"/>
    </row>
    <row r="373" spans="1:5" x14ac:dyDescent="0.3">
      <c r="A373" s="1"/>
      <c r="E373" s="14"/>
    </row>
    <row r="374" spans="1:5" x14ac:dyDescent="0.3">
      <c r="A374" s="1"/>
      <c r="E374" s="14"/>
    </row>
    <row r="375" spans="1:5" x14ac:dyDescent="0.3">
      <c r="A375" s="1"/>
      <c r="E375" s="14"/>
    </row>
    <row r="376" spans="1:5" x14ac:dyDescent="0.3">
      <c r="A376" s="1"/>
      <c r="E376" s="14"/>
    </row>
    <row r="377" spans="1:5" x14ac:dyDescent="0.3">
      <c r="A377" s="1"/>
      <c r="E377" s="14"/>
    </row>
    <row r="378" spans="1:5" x14ac:dyDescent="0.3">
      <c r="A378" s="1"/>
      <c r="E378" s="14"/>
    </row>
    <row r="379" spans="1:5" x14ac:dyDescent="0.3">
      <c r="A379" s="1"/>
      <c r="E379" s="14"/>
    </row>
    <row r="380" spans="1:5" x14ac:dyDescent="0.3">
      <c r="A380" s="1"/>
      <c r="E380" s="14"/>
    </row>
    <row r="381" spans="1:5" x14ac:dyDescent="0.3">
      <c r="A381" s="1"/>
      <c r="E381" s="14"/>
    </row>
    <row r="382" spans="1:5" x14ac:dyDescent="0.3">
      <c r="A382" s="1"/>
      <c r="E382" s="14"/>
    </row>
    <row r="383" spans="1:5" x14ac:dyDescent="0.3">
      <c r="A383" s="1"/>
      <c r="E383" s="14"/>
    </row>
    <row r="384" spans="1:5" x14ac:dyDescent="0.3">
      <c r="A384" s="1"/>
      <c r="E384" s="14"/>
    </row>
    <row r="385" spans="1:5" x14ac:dyDescent="0.3">
      <c r="A385" s="1"/>
      <c r="E385" s="14"/>
    </row>
    <row r="386" spans="1:5" x14ac:dyDescent="0.3">
      <c r="A386" s="1"/>
      <c r="E386" s="14"/>
    </row>
    <row r="387" spans="1:5" x14ac:dyDescent="0.3">
      <c r="A387" s="1"/>
      <c r="E387" s="14"/>
    </row>
    <row r="388" spans="1:5" x14ac:dyDescent="0.3">
      <c r="A388" s="1"/>
      <c r="E388" s="14"/>
    </row>
    <row r="389" spans="1:5" x14ac:dyDescent="0.3">
      <c r="A389" s="1"/>
      <c r="E389" s="14"/>
    </row>
    <row r="390" spans="1:5" x14ac:dyDescent="0.3">
      <c r="A390" s="1"/>
      <c r="E390" s="14"/>
    </row>
    <row r="391" spans="1:5" x14ac:dyDescent="0.3">
      <c r="A391" s="1"/>
      <c r="E391" s="14"/>
    </row>
    <row r="392" spans="1:5" x14ac:dyDescent="0.3">
      <c r="A392" s="1"/>
      <c r="E392" s="14"/>
    </row>
    <row r="393" spans="1:5" x14ac:dyDescent="0.3">
      <c r="A393" s="1"/>
      <c r="E393" s="14"/>
    </row>
    <row r="394" spans="1:5" x14ac:dyDescent="0.3">
      <c r="A394" s="1"/>
      <c r="E394" s="14"/>
    </row>
    <row r="395" spans="1:5" x14ac:dyDescent="0.3">
      <c r="A395" s="1"/>
      <c r="E395" s="14"/>
    </row>
    <row r="396" spans="1:5" x14ac:dyDescent="0.3">
      <c r="A396" s="1"/>
      <c r="E396" s="14"/>
    </row>
    <row r="397" spans="1:5" x14ac:dyDescent="0.3">
      <c r="A397" s="1"/>
      <c r="E397" s="14"/>
    </row>
    <row r="398" spans="1:5" x14ac:dyDescent="0.3">
      <c r="A398" s="1"/>
      <c r="E398" s="14"/>
    </row>
    <row r="399" spans="1:5" x14ac:dyDescent="0.3">
      <c r="A399" s="1"/>
      <c r="E399" s="14"/>
    </row>
    <row r="400" spans="1:5" x14ac:dyDescent="0.3">
      <c r="A400" s="1"/>
      <c r="E400" s="14"/>
    </row>
    <row r="401" spans="1:5" x14ac:dyDescent="0.3">
      <c r="A401" s="1"/>
      <c r="E401" s="14"/>
    </row>
    <row r="402" spans="1:5" x14ac:dyDescent="0.3">
      <c r="A402" s="1"/>
      <c r="E402" s="14"/>
    </row>
    <row r="403" spans="1:5" x14ac:dyDescent="0.3">
      <c r="A403" s="1"/>
      <c r="E403" s="14"/>
    </row>
    <row r="404" spans="1:5" x14ac:dyDescent="0.3">
      <c r="A404" s="1"/>
      <c r="E404" s="14"/>
    </row>
    <row r="405" spans="1:5" x14ac:dyDescent="0.3">
      <c r="A405" s="1"/>
      <c r="E405" s="14"/>
    </row>
    <row r="406" spans="1:5" x14ac:dyDescent="0.3">
      <c r="A406" s="1"/>
      <c r="E406" s="14"/>
    </row>
    <row r="407" spans="1:5" x14ac:dyDescent="0.3">
      <c r="A407" s="1"/>
      <c r="E407" s="14"/>
    </row>
    <row r="408" spans="1:5" x14ac:dyDescent="0.3">
      <c r="A408" s="1"/>
      <c r="E408" s="14"/>
    </row>
    <row r="409" spans="1:5" x14ac:dyDescent="0.3">
      <c r="A409" s="1"/>
      <c r="E409" s="14"/>
    </row>
    <row r="410" spans="1:5" x14ac:dyDescent="0.3">
      <c r="A410" s="1"/>
      <c r="E410" s="14"/>
    </row>
    <row r="411" spans="1:5" x14ac:dyDescent="0.3">
      <c r="A411" s="1"/>
      <c r="E411" s="14"/>
    </row>
    <row r="412" spans="1:5" x14ac:dyDescent="0.3">
      <c r="A412" s="1"/>
      <c r="E412" s="14"/>
    </row>
    <row r="413" spans="1:5" x14ac:dyDescent="0.3">
      <c r="A413" s="1"/>
      <c r="E413" s="14"/>
    </row>
    <row r="414" spans="1:5" x14ac:dyDescent="0.3">
      <c r="A414" s="1"/>
      <c r="E414" s="14"/>
    </row>
    <row r="415" spans="1:5" x14ac:dyDescent="0.3">
      <c r="A415" s="1"/>
      <c r="E415" s="14"/>
    </row>
    <row r="416" spans="1:5" x14ac:dyDescent="0.3">
      <c r="A416" s="1"/>
      <c r="E416" s="14"/>
    </row>
    <row r="417" spans="1:5" x14ac:dyDescent="0.3">
      <c r="A417" s="1"/>
      <c r="E417" s="14"/>
    </row>
    <row r="418" spans="1:5" x14ac:dyDescent="0.3">
      <c r="A418" s="1"/>
      <c r="E418" s="14"/>
    </row>
    <row r="419" spans="1:5" x14ac:dyDescent="0.3">
      <c r="A419" s="1"/>
      <c r="E419" s="14"/>
    </row>
    <row r="420" spans="1:5" x14ac:dyDescent="0.3">
      <c r="A420" s="1"/>
      <c r="E420" s="14"/>
    </row>
    <row r="421" spans="1:5" x14ac:dyDescent="0.3">
      <c r="A421" s="1"/>
      <c r="E421" s="14"/>
    </row>
    <row r="422" spans="1:5" x14ac:dyDescent="0.3">
      <c r="A422" s="1"/>
      <c r="E422" s="14"/>
    </row>
    <row r="423" spans="1:5" x14ac:dyDescent="0.3">
      <c r="A423" s="1"/>
      <c r="E423" s="14"/>
    </row>
    <row r="424" spans="1:5" x14ac:dyDescent="0.3">
      <c r="A424" s="1"/>
      <c r="E424" s="14"/>
    </row>
    <row r="425" spans="1:5" x14ac:dyDescent="0.3">
      <c r="A425" s="1"/>
      <c r="E425" s="14"/>
    </row>
    <row r="426" spans="1:5" x14ac:dyDescent="0.3">
      <c r="A426" s="1"/>
      <c r="E426" s="14"/>
    </row>
    <row r="427" spans="1:5" x14ac:dyDescent="0.3">
      <c r="A427" s="1"/>
      <c r="E427" s="14"/>
    </row>
    <row r="428" spans="1:5" x14ac:dyDescent="0.3">
      <c r="A428" s="1"/>
      <c r="E428" s="14"/>
    </row>
    <row r="429" spans="1:5" x14ac:dyDescent="0.3">
      <c r="A429" s="1"/>
      <c r="E429" s="14"/>
    </row>
    <row r="430" spans="1:5" x14ac:dyDescent="0.3">
      <c r="A430" s="1"/>
      <c r="E430" s="14"/>
    </row>
    <row r="431" spans="1:5" x14ac:dyDescent="0.3">
      <c r="A431" s="1"/>
      <c r="E431" s="14"/>
    </row>
    <row r="432" spans="1:5" x14ac:dyDescent="0.3">
      <c r="A432" s="1"/>
      <c r="E432" s="14"/>
    </row>
    <row r="433" spans="1:5" x14ac:dyDescent="0.3">
      <c r="A433" s="1"/>
      <c r="E433" s="14"/>
    </row>
    <row r="434" spans="1:5" x14ac:dyDescent="0.3">
      <c r="A434" s="1"/>
      <c r="E434" s="14"/>
    </row>
    <row r="435" spans="1:5" x14ac:dyDescent="0.3">
      <c r="A435" s="1"/>
      <c r="E435" s="14"/>
    </row>
    <row r="436" spans="1:5" x14ac:dyDescent="0.3">
      <c r="A436" s="1"/>
      <c r="E436" s="14"/>
    </row>
    <row r="437" spans="1:5" x14ac:dyDescent="0.3">
      <c r="A437" s="1"/>
      <c r="E437" s="14"/>
    </row>
    <row r="438" spans="1:5" x14ac:dyDescent="0.3">
      <c r="A438" s="1"/>
      <c r="E438" s="14"/>
    </row>
    <row r="439" spans="1:5" x14ac:dyDescent="0.3">
      <c r="A439" s="1"/>
      <c r="E439" s="14"/>
    </row>
    <row r="440" spans="1:5" x14ac:dyDescent="0.3">
      <c r="A440" s="1"/>
      <c r="E440" s="14"/>
    </row>
    <row r="441" spans="1:5" x14ac:dyDescent="0.3">
      <c r="A441" s="1"/>
      <c r="E441" s="14"/>
    </row>
    <row r="442" spans="1:5" x14ac:dyDescent="0.3">
      <c r="A442" s="1"/>
      <c r="E442" s="14"/>
    </row>
    <row r="443" spans="1:5" x14ac:dyDescent="0.3">
      <c r="A443" s="1"/>
      <c r="E443" s="14"/>
    </row>
    <row r="444" spans="1:5" x14ac:dyDescent="0.3">
      <c r="A444" s="1"/>
      <c r="E444" s="14"/>
    </row>
    <row r="445" spans="1:5" x14ac:dyDescent="0.3">
      <c r="A445" s="1"/>
      <c r="E445" s="14"/>
    </row>
    <row r="446" spans="1:5" x14ac:dyDescent="0.3">
      <c r="A446" s="1"/>
      <c r="E446" s="14"/>
    </row>
    <row r="447" spans="1:5" x14ac:dyDescent="0.3">
      <c r="A447" s="1"/>
      <c r="E447" s="14"/>
    </row>
    <row r="448" spans="1:5" x14ac:dyDescent="0.3">
      <c r="A448" s="1"/>
      <c r="E448" s="14"/>
    </row>
    <row r="449" spans="1:5" x14ac:dyDescent="0.3">
      <c r="A449" s="1"/>
      <c r="E449" s="14"/>
    </row>
    <row r="450" spans="1:5" x14ac:dyDescent="0.3">
      <c r="A450" s="1"/>
      <c r="E450" s="14"/>
    </row>
    <row r="451" spans="1:5" x14ac:dyDescent="0.3">
      <c r="A451" s="1"/>
      <c r="E451" s="14"/>
    </row>
    <row r="452" spans="1:5" x14ac:dyDescent="0.3">
      <c r="A452" s="1"/>
      <c r="E452" s="14"/>
    </row>
    <row r="453" spans="1:5" x14ac:dyDescent="0.3">
      <c r="A453" s="1"/>
      <c r="E453" s="14"/>
    </row>
    <row r="454" spans="1:5" x14ac:dyDescent="0.3">
      <c r="A454" s="1"/>
      <c r="E454" s="14"/>
    </row>
    <row r="455" spans="1:5" x14ac:dyDescent="0.3">
      <c r="A455" s="1"/>
      <c r="E455" s="14"/>
    </row>
    <row r="456" spans="1:5" x14ac:dyDescent="0.3">
      <c r="A456" s="1"/>
      <c r="E456" s="14"/>
    </row>
    <row r="457" spans="1:5" x14ac:dyDescent="0.3">
      <c r="A457" s="1"/>
      <c r="E457" s="14"/>
    </row>
    <row r="458" spans="1:5" x14ac:dyDescent="0.3">
      <c r="A458" s="1"/>
      <c r="E458" s="14"/>
    </row>
    <row r="459" spans="1:5" x14ac:dyDescent="0.3">
      <c r="A459" s="1"/>
      <c r="E459" s="14"/>
    </row>
    <row r="460" spans="1:5" x14ac:dyDescent="0.3">
      <c r="A460" s="1"/>
      <c r="E460" s="14"/>
    </row>
    <row r="461" spans="1:5" x14ac:dyDescent="0.3">
      <c r="A461" s="1"/>
      <c r="E461" s="14"/>
    </row>
    <row r="462" spans="1:5" x14ac:dyDescent="0.3">
      <c r="A462" s="1"/>
      <c r="E462" s="14"/>
    </row>
    <row r="463" spans="1:5" x14ac:dyDescent="0.3">
      <c r="A463" s="1"/>
      <c r="E463" s="14"/>
    </row>
    <row r="464" spans="1:5" x14ac:dyDescent="0.3">
      <c r="A464" s="1"/>
      <c r="E464" s="14"/>
    </row>
    <row r="465" spans="1:5" x14ac:dyDescent="0.3">
      <c r="A465" s="1"/>
      <c r="E465" s="14"/>
    </row>
    <row r="466" spans="1:5" x14ac:dyDescent="0.3">
      <c r="A466" s="1"/>
      <c r="E466" s="14"/>
    </row>
    <row r="467" spans="1:5" x14ac:dyDescent="0.3">
      <c r="A467" s="1"/>
      <c r="E467" s="14"/>
    </row>
    <row r="468" spans="1:5" x14ac:dyDescent="0.3">
      <c r="A468" s="1"/>
      <c r="E468" s="14"/>
    </row>
    <row r="469" spans="1:5" x14ac:dyDescent="0.3">
      <c r="A469" s="1"/>
      <c r="E469" s="14"/>
    </row>
    <row r="470" spans="1:5" x14ac:dyDescent="0.3">
      <c r="A470" s="1"/>
      <c r="E470" s="14"/>
    </row>
    <row r="471" spans="1:5" x14ac:dyDescent="0.3">
      <c r="A471" s="1"/>
      <c r="E471" s="14"/>
    </row>
    <row r="472" spans="1:5" x14ac:dyDescent="0.3">
      <c r="A472" s="1"/>
      <c r="E472" s="14"/>
    </row>
    <row r="473" spans="1:5" x14ac:dyDescent="0.3">
      <c r="A473" s="1"/>
      <c r="E473" s="14"/>
    </row>
    <row r="474" spans="1:5" x14ac:dyDescent="0.3">
      <c r="A474" s="1"/>
      <c r="E474" s="14"/>
    </row>
    <row r="475" spans="1:5" x14ac:dyDescent="0.3">
      <c r="A475" s="1"/>
      <c r="E475" s="14"/>
    </row>
    <row r="476" spans="1:5" x14ac:dyDescent="0.3">
      <c r="A476" s="1"/>
      <c r="E476" s="14"/>
    </row>
    <row r="477" spans="1:5" x14ac:dyDescent="0.3">
      <c r="A477" s="1"/>
      <c r="E477" s="14"/>
    </row>
    <row r="478" spans="1:5" x14ac:dyDescent="0.3">
      <c r="A478" s="1"/>
      <c r="E478" s="14"/>
    </row>
    <row r="479" spans="1:5" x14ac:dyDescent="0.3">
      <c r="A479" s="1"/>
      <c r="E479" s="14"/>
    </row>
    <row r="480" spans="1:5" x14ac:dyDescent="0.3">
      <c r="A480" s="1"/>
      <c r="E480" s="14"/>
    </row>
    <row r="481" spans="1:5" x14ac:dyDescent="0.3">
      <c r="A481" s="1"/>
      <c r="E481" s="14"/>
    </row>
    <row r="482" spans="1:5" x14ac:dyDescent="0.3">
      <c r="A482" s="1"/>
      <c r="E482" s="14"/>
    </row>
    <row r="483" spans="1:5" x14ac:dyDescent="0.3">
      <c r="A483" s="1"/>
      <c r="E483" s="14"/>
    </row>
    <row r="484" spans="1:5" x14ac:dyDescent="0.3">
      <c r="A484" s="1"/>
      <c r="E484" s="14"/>
    </row>
    <row r="485" spans="1:5" x14ac:dyDescent="0.3">
      <c r="A485" s="1"/>
      <c r="E485" s="14"/>
    </row>
    <row r="486" spans="1:5" x14ac:dyDescent="0.3">
      <c r="A486" s="1"/>
      <c r="E486" s="14"/>
    </row>
    <row r="487" spans="1:5" x14ac:dyDescent="0.3">
      <c r="A487" s="1"/>
      <c r="E487" s="14"/>
    </row>
    <row r="488" spans="1:5" x14ac:dyDescent="0.3">
      <c r="A488" s="1"/>
      <c r="E488" s="14"/>
    </row>
    <row r="489" spans="1:5" x14ac:dyDescent="0.3">
      <c r="A489" s="1"/>
      <c r="E489" s="14"/>
    </row>
    <row r="490" spans="1:5" x14ac:dyDescent="0.3">
      <c r="A490" s="1"/>
      <c r="E490" s="14"/>
    </row>
    <row r="491" spans="1:5" x14ac:dyDescent="0.3">
      <c r="A491" s="1"/>
      <c r="E491" s="14"/>
    </row>
    <row r="492" spans="1:5" x14ac:dyDescent="0.3">
      <c r="A492" s="1"/>
      <c r="E492" s="14"/>
    </row>
    <row r="493" spans="1:5" x14ac:dyDescent="0.3">
      <c r="A493" s="1"/>
      <c r="E493" s="14"/>
    </row>
    <row r="494" spans="1:5" x14ac:dyDescent="0.3">
      <c r="A494" s="1"/>
      <c r="E494" s="14"/>
    </row>
    <row r="495" spans="1:5" x14ac:dyDescent="0.3">
      <c r="A495" s="1"/>
      <c r="E495" s="14"/>
    </row>
    <row r="496" spans="1:5" x14ac:dyDescent="0.3">
      <c r="A496" s="1"/>
      <c r="E496" s="14"/>
    </row>
    <row r="497" spans="1:5" x14ac:dyDescent="0.3">
      <c r="A497" s="1"/>
      <c r="E497" s="14"/>
    </row>
    <row r="498" spans="1:5" x14ac:dyDescent="0.3">
      <c r="A498" s="1"/>
      <c r="E498" s="14"/>
    </row>
    <row r="499" spans="1:5" x14ac:dyDescent="0.3">
      <c r="A499" s="1"/>
      <c r="E499" s="14"/>
    </row>
    <row r="500" spans="1:5" x14ac:dyDescent="0.3">
      <c r="A500" s="1"/>
      <c r="E500" s="14"/>
    </row>
    <row r="501" spans="1:5" x14ac:dyDescent="0.3">
      <c r="A501" s="1"/>
      <c r="E501" s="14"/>
    </row>
    <row r="502" spans="1:5" x14ac:dyDescent="0.3">
      <c r="A502" s="1"/>
      <c r="E502" s="14"/>
    </row>
    <row r="503" spans="1:5" x14ac:dyDescent="0.3">
      <c r="A503" s="1"/>
      <c r="E503" s="14"/>
    </row>
    <row r="504" spans="1:5" x14ac:dyDescent="0.3">
      <c r="A504" s="1"/>
      <c r="E504" s="14"/>
    </row>
    <row r="505" spans="1:5" x14ac:dyDescent="0.3">
      <c r="A505" s="1"/>
      <c r="E505" s="14"/>
    </row>
    <row r="506" spans="1:5" x14ac:dyDescent="0.3">
      <c r="A506" s="1"/>
      <c r="E506" s="14"/>
    </row>
    <row r="507" spans="1:5" x14ac:dyDescent="0.3">
      <c r="A507" s="1"/>
      <c r="E507" s="14"/>
    </row>
    <row r="508" spans="1:5" x14ac:dyDescent="0.3">
      <c r="A508" s="1"/>
      <c r="E508" s="14"/>
    </row>
    <row r="509" spans="1:5" x14ac:dyDescent="0.3">
      <c r="A509" s="1"/>
      <c r="E509" s="14"/>
    </row>
    <row r="510" spans="1:5" x14ac:dyDescent="0.3">
      <c r="A510" s="1"/>
      <c r="E510" s="14"/>
    </row>
    <row r="511" spans="1:5" x14ac:dyDescent="0.3">
      <c r="A511" s="1"/>
      <c r="E511" s="14"/>
    </row>
    <row r="512" spans="1:5" x14ac:dyDescent="0.3">
      <c r="A512" s="1"/>
      <c r="E512" s="14"/>
    </row>
    <row r="513" spans="1:5" x14ac:dyDescent="0.3">
      <c r="A513" s="1"/>
      <c r="E513" s="14"/>
    </row>
    <row r="514" spans="1:5" x14ac:dyDescent="0.3">
      <c r="A514" s="1"/>
      <c r="E514" s="14"/>
    </row>
    <row r="515" spans="1:5" x14ac:dyDescent="0.3">
      <c r="A515" s="1"/>
      <c r="E515" s="14"/>
    </row>
    <row r="516" spans="1:5" x14ac:dyDescent="0.3">
      <c r="A516" s="1"/>
      <c r="E516" s="14"/>
    </row>
    <row r="517" spans="1:5" x14ac:dyDescent="0.3">
      <c r="A517" s="1"/>
      <c r="E517" s="14"/>
    </row>
    <row r="518" spans="1:5" x14ac:dyDescent="0.3">
      <c r="A518" s="1"/>
      <c r="E518" s="14"/>
    </row>
    <row r="519" spans="1:5" x14ac:dyDescent="0.3">
      <c r="A519" s="1"/>
      <c r="E519" s="14"/>
    </row>
    <row r="520" spans="1:5" x14ac:dyDescent="0.3">
      <c r="A520" s="1"/>
      <c r="E520" s="14"/>
    </row>
    <row r="521" spans="1:5" x14ac:dyDescent="0.3">
      <c r="A521" s="1"/>
      <c r="E521" s="14"/>
    </row>
    <row r="522" spans="1:5" x14ac:dyDescent="0.3">
      <c r="A522" s="1"/>
      <c r="E522" s="14"/>
    </row>
    <row r="523" spans="1:5" x14ac:dyDescent="0.3">
      <c r="A523" s="1"/>
      <c r="E523" s="14"/>
    </row>
    <row r="524" spans="1:5" x14ac:dyDescent="0.3">
      <c r="A524" s="1"/>
      <c r="E524" s="14"/>
    </row>
    <row r="525" spans="1:5" x14ac:dyDescent="0.3">
      <c r="A525" s="1"/>
      <c r="E525" s="14"/>
    </row>
    <row r="526" spans="1:5" x14ac:dyDescent="0.3">
      <c r="A526" s="1"/>
      <c r="E526" s="14"/>
    </row>
    <row r="527" spans="1:5" x14ac:dyDescent="0.3">
      <c r="A527" s="1"/>
      <c r="E527" s="14"/>
    </row>
    <row r="528" spans="1:5" x14ac:dyDescent="0.3">
      <c r="A528" s="1"/>
      <c r="E528" s="14"/>
    </row>
    <row r="529" spans="1:5" x14ac:dyDescent="0.3">
      <c r="A529" s="1"/>
      <c r="E529" s="14"/>
    </row>
    <row r="530" spans="1:5" x14ac:dyDescent="0.3">
      <c r="A530" s="1"/>
      <c r="E530" s="14"/>
    </row>
    <row r="531" spans="1:5" x14ac:dyDescent="0.3">
      <c r="A531" s="1"/>
      <c r="E531" s="14"/>
    </row>
    <row r="532" spans="1:5" x14ac:dyDescent="0.3">
      <c r="A532" s="1"/>
      <c r="E532" s="14"/>
    </row>
    <row r="533" spans="1:5" x14ac:dyDescent="0.3">
      <c r="A533" s="1"/>
      <c r="E533" s="14"/>
    </row>
    <row r="534" spans="1:5" x14ac:dyDescent="0.3">
      <c r="A534" s="1"/>
      <c r="E534" s="14"/>
    </row>
    <row r="535" spans="1:5" x14ac:dyDescent="0.3">
      <c r="A535" s="1"/>
      <c r="E535" s="14"/>
    </row>
    <row r="536" spans="1:5" x14ac:dyDescent="0.3">
      <c r="A536" s="1"/>
      <c r="E536" s="14"/>
    </row>
    <row r="537" spans="1:5" x14ac:dyDescent="0.3">
      <c r="A537" s="1"/>
      <c r="E537" s="14"/>
    </row>
    <row r="538" spans="1:5" x14ac:dyDescent="0.3">
      <c r="A538" s="1"/>
      <c r="E538" s="14"/>
    </row>
    <row r="539" spans="1:5" x14ac:dyDescent="0.3">
      <c r="A539" s="1"/>
      <c r="E539" s="14"/>
    </row>
    <row r="540" spans="1:5" x14ac:dyDescent="0.3">
      <c r="A540" s="1"/>
      <c r="E540" s="14"/>
    </row>
    <row r="541" spans="1:5" x14ac:dyDescent="0.3">
      <c r="A541" s="1"/>
      <c r="E541" s="14"/>
    </row>
    <row r="542" spans="1:5" x14ac:dyDescent="0.3">
      <c r="A542" s="1"/>
      <c r="E542" s="14"/>
    </row>
    <row r="543" spans="1:5" x14ac:dyDescent="0.3">
      <c r="A543" s="1"/>
      <c r="E543" s="14"/>
    </row>
    <row r="544" spans="1:5" x14ac:dyDescent="0.3">
      <c r="A544" s="1"/>
      <c r="E544" s="14"/>
    </row>
    <row r="545" spans="1:5" x14ac:dyDescent="0.3">
      <c r="A545" s="1"/>
      <c r="E545" s="14"/>
    </row>
    <row r="546" spans="1:5" x14ac:dyDescent="0.3">
      <c r="A546" s="1"/>
      <c r="E546" s="14"/>
    </row>
    <row r="547" spans="1:5" x14ac:dyDescent="0.3">
      <c r="A547" s="1"/>
      <c r="E547" s="14"/>
    </row>
    <row r="548" spans="1:5" x14ac:dyDescent="0.3">
      <c r="A548" s="1"/>
      <c r="E548" s="14"/>
    </row>
    <row r="549" spans="1:5" x14ac:dyDescent="0.3">
      <c r="A549" s="1"/>
      <c r="E549" s="14"/>
    </row>
    <row r="550" spans="1:5" x14ac:dyDescent="0.3">
      <c r="A550" s="1"/>
      <c r="E550" s="14"/>
    </row>
    <row r="551" spans="1:5" x14ac:dyDescent="0.3">
      <c r="A551" s="1"/>
      <c r="E551" s="14"/>
    </row>
    <row r="552" spans="1:5" x14ac:dyDescent="0.3">
      <c r="A552" s="1"/>
      <c r="E552" s="14"/>
    </row>
    <row r="553" spans="1:5" x14ac:dyDescent="0.3">
      <c r="A553" s="1"/>
      <c r="E553" s="14"/>
    </row>
    <row r="554" spans="1:5" x14ac:dyDescent="0.3">
      <c r="A554" s="1"/>
      <c r="E554" s="14"/>
    </row>
    <row r="555" spans="1:5" x14ac:dyDescent="0.3">
      <c r="A555" s="1"/>
      <c r="E555" s="14"/>
    </row>
    <row r="556" spans="1:5" x14ac:dyDescent="0.3">
      <c r="A556" s="1"/>
      <c r="E556" s="14"/>
    </row>
    <row r="557" spans="1:5" x14ac:dyDescent="0.3">
      <c r="A557" s="1"/>
      <c r="E557" s="14"/>
    </row>
    <row r="558" spans="1:5" x14ac:dyDescent="0.3">
      <c r="A558" s="1"/>
      <c r="E558" s="14"/>
    </row>
    <row r="559" spans="1:5" x14ac:dyDescent="0.3">
      <c r="A559" s="1"/>
      <c r="E559" s="14"/>
    </row>
    <row r="560" spans="1:5" x14ac:dyDescent="0.3">
      <c r="A560" s="1"/>
      <c r="E560" s="14"/>
    </row>
    <row r="561" spans="1:5" x14ac:dyDescent="0.3">
      <c r="A561" s="1"/>
      <c r="E561" s="14"/>
    </row>
    <row r="562" spans="1:5" x14ac:dyDescent="0.3">
      <c r="A562" s="1"/>
      <c r="E562" s="14"/>
    </row>
    <row r="563" spans="1:5" x14ac:dyDescent="0.3">
      <c r="A563" s="1"/>
      <c r="E563" s="14"/>
    </row>
    <row r="564" spans="1:5" x14ac:dyDescent="0.3">
      <c r="A564" s="1"/>
      <c r="E564" s="14"/>
    </row>
    <row r="565" spans="1:5" x14ac:dyDescent="0.3">
      <c r="A565" s="1"/>
      <c r="E565" s="14"/>
    </row>
    <row r="566" spans="1:5" x14ac:dyDescent="0.3">
      <c r="A566" s="1"/>
      <c r="E566" s="14"/>
    </row>
    <row r="567" spans="1:5" x14ac:dyDescent="0.3">
      <c r="A567" s="1"/>
      <c r="E567" s="14"/>
    </row>
    <row r="568" spans="1:5" x14ac:dyDescent="0.3">
      <c r="A568" s="1"/>
      <c r="E568" s="14"/>
    </row>
    <row r="569" spans="1:5" x14ac:dyDescent="0.3">
      <c r="A569" s="1"/>
      <c r="E569" s="14"/>
    </row>
    <row r="570" spans="1:5" x14ac:dyDescent="0.3">
      <c r="A570" s="1"/>
      <c r="E570" s="14"/>
    </row>
    <row r="571" spans="1:5" x14ac:dyDescent="0.3">
      <c r="A571" s="1"/>
      <c r="E571" s="14"/>
    </row>
    <row r="572" spans="1:5" x14ac:dyDescent="0.3">
      <c r="A572" s="1"/>
      <c r="E572" s="14"/>
    </row>
    <row r="573" spans="1:5" x14ac:dyDescent="0.3">
      <c r="A573" s="1"/>
      <c r="E573" s="14"/>
    </row>
    <row r="574" spans="1:5" x14ac:dyDescent="0.3">
      <c r="A574" s="1"/>
      <c r="E574" s="14"/>
    </row>
    <row r="575" spans="1:5" x14ac:dyDescent="0.3">
      <c r="A575" s="1"/>
      <c r="E575" s="14"/>
    </row>
    <row r="576" spans="1:5" x14ac:dyDescent="0.3">
      <c r="A576" s="1"/>
      <c r="E576" s="14"/>
    </row>
    <row r="577" spans="1:5" x14ac:dyDescent="0.3">
      <c r="A577" s="1"/>
      <c r="E577" s="14"/>
    </row>
    <row r="578" spans="1:5" x14ac:dyDescent="0.3">
      <c r="A578" s="1"/>
      <c r="E578" s="14"/>
    </row>
    <row r="579" spans="1:5" x14ac:dyDescent="0.3">
      <c r="A579" s="1"/>
      <c r="E579" s="14"/>
    </row>
    <row r="580" spans="1:5" x14ac:dyDescent="0.3">
      <c r="A580" s="1"/>
      <c r="E580" s="14"/>
    </row>
    <row r="581" spans="1:5" x14ac:dyDescent="0.3">
      <c r="A581" s="1"/>
      <c r="E581" s="14"/>
    </row>
    <row r="582" spans="1:5" x14ac:dyDescent="0.3">
      <c r="A582" s="1"/>
      <c r="E582" s="14"/>
    </row>
    <row r="583" spans="1:5" x14ac:dyDescent="0.3">
      <c r="A583" s="1"/>
      <c r="E583" s="14"/>
    </row>
    <row r="584" spans="1:5" x14ac:dyDescent="0.3">
      <c r="A584" s="1"/>
      <c r="E584" s="14"/>
    </row>
    <row r="585" spans="1:5" x14ac:dyDescent="0.3">
      <c r="A585" s="1"/>
      <c r="E585" s="14"/>
    </row>
    <row r="586" spans="1:5" x14ac:dyDescent="0.3">
      <c r="A586" s="1"/>
      <c r="E586" s="14"/>
    </row>
    <row r="587" spans="1:5" x14ac:dyDescent="0.3">
      <c r="A587" s="1"/>
      <c r="E587" s="14"/>
    </row>
    <row r="588" spans="1:5" x14ac:dyDescent="0.3">
      <c r="A588" s="1"/>
      <c r="E588" s="14"/>
    </row>
    <row r="589" spans="1:5" x14ac:dyDescent="0.3">
      <c r="A589" s="1"/>
      <c r="E589" s="14"/>
    </row>
    <row r="590" spans="1:5" x14ac:dyDescent="0.3">
      <c r="A590" s="1"/>
      <c r="E590" s="14"/>
    </row>
    <row r="591" spans="1:5" x14ac:dyDescent="0.3">
      <c r="A591" s="1"/>
      <c r="E591" s="14"/>
    </row>
    <row r="592" spans="1:5" x14ac:dyDescent="0.3">
      <c r="A592" s="1"/>
      <c r="E592" s="14"/>
    </row>
    <row r="593" spans="1:5" x14ac:dyDescent="0.3">
      <c r="A593" s="1"/>
      <c r="E593" s="14"/>
    </row>
    <row r="594" spans="1:5" x14ac:dyDescent="0.3">
      <c r="A594" s="1"/>
      <c r="E594" s="14"/>
    </row>
    <row r="595" spans="1:5" x14ac:dyDescent="0.3">
      <c r="A595" s="1"/>
      <c r="E595" s="14"/>
    </row>
    <row r="596" spans="1:5" x14ac:dyDescent="0.3">
      <c r="A596" s="1"/>
      <c r="E596" s="14"/>
    </row>
    <row r="597" spans="1:5" x14ac:dyDescent="0.3">
      <c r="A597" s="1"/>
      <c r="E597" s="14"/>
    </row>
    <row r="598" spans="1:5" x14ac:dyDescent="0.3">
      <c r="A598" s="1"/>
      <c r="E598" s="14"/>
    </row>
    <row r="599" spans="1:5" x14ac:dyDescent="0.3">
      <c r="A599" s="1"/>
      <c r="E599" s="14"/>
    </row>
    <row r="600" spans="1:5" x14ac:dyDescent="0.3">
      <c r="A600" s="1"/>
      <c r="E600" s="14"/>
    </row>
    <row r="601" spans="1:5" x14ac:dyDescent="0.3">
      <c r="A601" s="1"/>
      <c r="E601" s="14"/>
    </row>
    <row r="602" spans="1:5" x14ac:dyDescent="0.3">
      <c r="A602" s="1"/>
      <c r="E602" s="14"/>
    </row>
    <row r="603" spans="1:5" x14ac:dyDescent="0.3">
      <c r="A603" s="1"/>
      <c r="E603" s="14"/>
    </row>
    <row r="604" spans="1:5" x14ac:dyDescent="0.3">
      <c r="A604" s="1"/>
      <c r="E604" s="14"/>
    </row>
    <row r="605" spans="1:5" x14ac:dyDescent="0.3">
      <c r="A605" s="1"/>
      <c r="E605" s="14"/>
    </row>
    <row r="606" spans="1:5" x14ac:dyDescent="0.3">
      <c r="A606" s="1"/>
      <c r="E606" s="14"/>
    </row>
    <row r="607" spans="1:5" x14ac:dyDescent="0.3">
      <c r="A607" s="1"/>
      <c r="E607" s="14"/>
    </row>
    <row r="608" spans="1:5" x14ac:dyDescent="0.3">
      <c r="A608" s="1"/>
      <c r="E608" s="14"/>
    </row>
    <row r="609" spans="1:5" x14ac:dyDescent="0.3">
      <c r="A609" s="1"/>
      <c r="E609" s="14"/>
    </row>
    <row r="610" spans="1:5" x14ac:dyDescent="0.3">
      <c r="A610" s="1"/>
      <c r="E610" s="14"/>
    </row>
    <row r="611" spans="1:5" x14ac:dyDescent="0.3">
      <c r="A611" s="1"/>
      <c r="E611" s="14"/>
    </row>
    <row r="612" spans="1:5" x14ac:dyDescent="0.3">
      <c r="A612" s="1"/>
      <c r="E612" s="14"/>
    </row>
    <row r="613" spans="1:5" x14ac:dyDescent="0.3">
      <c r="A613" s="1"/>
      <c r="E613" s="14"/>
    </row>
    <row r="614" spans="1:5" x14ac:dyDescent="0.3">
      <c r="A614" s="1"/>
      <c r="E614" s="14"/>
    </row>
    <row r="615" spans="1:5" x14ac:dyDescent="0.3">
      <c r="A615" s="1"/>
      <c r="E615" s="14"/>
    </row>
    <row r="616" spans="1:5" x14ac:dyDescent="0.3">
      <c r="A616" s="1"/>
      <c r="E616" s="14"/>
    </row>
    <row r="617" spans="1:5" x14ac:dyDescent="0.3">
      <c r="A617" s="1"/>
      <c r="E617" s="14"/>
    </row>
    <row r="618" spans="1:5" x14ac:dyDescent="0.3">
      <c r="A618" s="1"/>
      <c r="E618" s="14"/>
    </row>
    <row r="619" spans="1:5" x14ac:dyDescent="0.3">
      <c r="A619" s="1"/>
      <c r="E619" s="14"/>
    </row>
    <row r="620" spans="1:5" x14ac:dyDescent="0.3">
      <c r="A620" s="1"/>
      <c r="E620" s="14"/>
    </row>
    <row r="621" spans="1:5" x14ac:dyDescent="0.3">
      <c r="A621" s="1"/>
      <c r="E621" s="14"/>
    </row>
    <row r="622" spans="1:5" x14ac:dyDescent="0.3">
      <c r="A622" s="1"/>
      <c r="E622" s="14"/>
    </row>
    <row r="623" spans="1:5" x14ac:dyDescent="0.3">
      <c r="A623" s="1"/>
      <c r="E623" s="14"/>
    </row>
    <row r="624" spans="1:5" x14ac:dyDescent="0.3">
      <c r="A624" s="1"/>
      <c r="E624" s="14"/>
    </row>
    <row r="625" spans="1:5" x14ac:dyDescent="0.3">
      <c r="A625" s="1"/>
      <c r="E625" s="14"/>
    </row>
    <row r="626" spans="1:5" x14ac:dyDescent="0.3">
      <c r="A626" s="1"/>
      <c r="E626" s="14"/>
    </row>
    <row r="627" spans="1:5" x14ac:dyDescent="0.3">
      <c r="A627" s="1"/>
      <c r="E627" s="14"/>
    </row>
    <row r="628" spans="1:5" x14ac:dyDescent="0.3">
      <c r="A628" s="1"/>
      <c r="E628" s="14"/>
    </row>
    <row r="629" spans="1:5" x14ac:dyDescent="0.3">
      <c r="A629" s="1"/>
      <c r="E629" s="14"/>
    </row>
    <row r="630" spans="1:5" x14ac:dyDescent="0.3">
      <c r="A630" s="1"/>
      <c r="E630" s="14"/>
    </row>
    <row r="631" spans="1:5" x14ac:dyDescent="0.3">
      <c r="A631" s="1"/>
      <c r="E631" s="14"/>
    </row>
    <row r="632" spans="1:5" x14ac:dyDescent="0.3">
      <c r="A632" s="1"/>
      <c r="E632" s="14"/>
    </row>
    <row r="633" spans="1:5" x14ac:dyDescent="0.3">
      <c r="A633" s="1"/>
      <c r="E633" s="14"/>
    </row>
    <row r="634" spans="1:5" x14ac:dyDescent="0.3">
      <c r="A634" s="1"/>
      <c r="E634" s="14"/>
    </row>
    <row r="635" spans="1:5" x14ac:dyDescent="0.3">
      <c r="A635" s="1"/>
      <c r="E635" s="14"/>
    </row>
    <row r="636" spans="1:5" x14ac:dyDescent="0.3">
      <c r="A636" s="1"/>
      <c r="E636" s="14"/>
    </row>
    <row r="637" spans="1:5" x14ac:dyDescent="0.3">
      <c r="A637" s="1"/>
      <c r="E637" s="14"/>
    </row>
    <row r="638" spans="1:5" x14ac:dyDescent="0.3">
      <c r="A638" s="1"/>
      <c r="E638" s="14"/>
    </row>
    <row r="639" spans="1:5" x14ac:dyDescent="0.3">
      <c r="A639" s="1"/>
      <c r="E639" s="14"/>
    </row>
    <row r="640" spans="1:5" x14ac:dyDescent="0.3">
      <c r="A640" s="1"/>
      <c r="E640" s="14"/>
    </row>
    <row r="641" spans="1:5" x14ac:dyDescent="0.3">
      <c r="A641" s="1"/>
      <c r="E641" s="14"/>
    </row>
    <row r="642" spans="1:5" x14ac:dyDescent="0.3">
      <c r="A642" s="1"/>
      <c r="E642" s="14"/>
    </row>
    <row r="643" spans="1:5" x14ac:dyDescent="0.3">
      <c r="A643" s="1"/>
      <c r="E643" s="14"/>
    </row>
    <row r="644" spans="1:5" x14ac:dyDescent="0.3">
      <c r="A644" s="1"/>
      <c r="E644" s="14"/>
    </row>
    <row r="645" spans="1:5" x14ac:dyDescent="0.3">
      <c r="A645" s="1"/>
      <c r="E645" s="14"/>
    </row>
    <row r="646" spans="1:5" x14ac:dyDescent="0.3">
      <c r="A646" s="1"/>
      <c r="E646" s="14"/>
    </row>
    <row r="647" spans="1:5" x14ac:dyDescent="0.3">
      <c r="A647" s="1"/>
      <c r="E647" s="14"/>
    </row>
    <row r="648" spans="1:5" x14ac:dyDescent="0.3">
      <c r="A648" s="1"/>
      <c r="E648" s="14"/>
    </row>
    <row r="649" spans="1:5" x14ac:dyDescent="0.3">
      <c r="A649" s="1"/>
      <c r="E649" s="14"/>
    </row>
    <row r="650" spans="1:5" x14ac:dyDescent="0.3">
      <c r="A650" s="1"/>
      <c r="E650" s="14"/>
    </row>
    <row r="651" spans="1:5" x14ac:dyDescent="0.3">
      <c r="A651" s="1"/>
      <c r="E651" s="14"/>
    </row>
    <row r="652" spans="1:5" x14ac:dyDescent="0.3">
      <c r="A652" s="1"/>
      <c r="E652" s="14"/>
    </row>
    <row r="653" spans="1:5" x14ac:dyDescent="0.3">
      <c r="A653" s="1"/>
      <c r="E653" s="14"/>
    </row>
    <row r="654" spans="1:5" x14ac:dyDescent="0.3">
      <c r="A654" s="1"/>
      <c r="E654" s="14"/>
    </row>
    <row r="655" spans="1:5" x14ac:dyDescent="0.3">
      <c r="A655" s="1"/>
      <c r="E655" s="14"/>
    </row>
    <row r="656" spans="1:5" x14ac:dyDescent="0.3">
      <c r="A656" s="1"/>
      <c r="E656" s="14"/>
    </row>
    <row r="657" spans="1:5" x14ac:dyDescent="0.3">
      <c r="A657" s="1"/>
      <c r="E657" s="14"/>
    </row>
    <row r="658" spans="1:5" x14ac:dyDescent="0.3">
      <c r="A658" s="1"/>
      <c r="E658" s="14"/>
    </row>
    <row r="659" spans="1:5" x14ac:dyDescent="0.3">
      <c r="A659" s="1"/>
      <c r="E659" s="14"/>
    </row>
    <row r="660" spans="1:5" x14ac:dyDescent="0.3">
      <c r="A660" s="1"/>
      <c r="E660" s="14"/>
    </row>
    <row r="661" spans="1:5" x14ac:dyDescent="0.3">
      <c r="A661" s="1"/>
      <c r="E661" s="14"/>
    </row>
    <row r="662" spans="1:5" x14ac:dyDescent="0.3">
      <c r="A662" s="1"/>
      <c r="E662" s="14"/>
    </row>
    <row r="663" spans="1:5" x14ac:dyDescent="0.3">
      <c r="A663" s="1"/>
      <c r="E663" s="14"/>
    </row>
    <row r="664" spans="1:5" x14ac:dyDescent="0.3">
      <c r="A664" s="1"/>
      <c r="E664" s="14"/>
    </row>
    <row r="665" spans="1:5" x14ac:dyDescent="0.3">
      <c r="A665" s="1"/>
      <c r="E665" s="14"/>
    </row>
    <row r="666" spans="1:5" x14ac:dyDescent="0.3">
      <c r="A666" s="1"/>
      <c r="E666" s="14"/>
    </row>
    <row r="667" spans="1:5" x14ac:dyDescent="0.3">
      <c r="A667" s="1"/>
      <c r="E667" s="14"/>
    </row>
    <row r="668" spans="1:5" x14ac:dyDescent="0.3">
      <c r="A668" s="1"/>
      <c r="E668" s="14"/>
    </row>
    <row r="669" spans="1:5" x14ac:dyDescent="0.3">
      <c r="A669" s="1"/>
      <c r="E669" s="14"/>
    </row>
    <row r="670" spans="1:5" x14ac:dyDescent="0.3">
      <c r="A670" s="1"/>
      <c r="E670" s="14"/>
    </row>
    <row r="671" spans="1:5" x14ac:dyDescent="0.3">
      <c r="A671" s="1"/>
      <c r="E671" s="14"/>
    </row>
    <row r="672" spans="1:5" x14ac:dyDescent="0.3">
      <c r="A672" s="1"/>
      <c r="E672" s="14"/>
    </row>
    <row r="673" spans="1:5" x14ac:dyDescent="0.3">
      <c r="A673" s="1"/>
      <c r="E673" s="14"/>
    </row>
    <row r="674" spans="1:5" x14ac:dyDescent="0.3">
      <c r="A674" s="1"/>
      <c r="E674" s="14"/>
    </row>
    <row r="675" spans="1:5" x14ac:dyDescent="0.3">
      <c r="A675" s="1"/>
      <c r="E675" s="14"/>
    </row>
    <row r="676" spans="1:5" x14ac:dyDescent="0.3">
      <c r="A676" s="1"/>
      <c r="E676" s="14"/>
    </row>
    <row r="677" spans="1:5" x14ac:dyDescent="0.3">
      <c r="A677" s="1"/>
      <c r="E677" s="14"/>
    </row>
    <row r="678" spans="1:5" x14ac:dyDescent="0.3">
      <c r="A678" s="1"/>
      <c r="E678" s="14"/>
    </row>
    <row r="679" spans="1:5" x14ac:dyDescent="0.3">
      <c r="A679" s="1"/>
      <c r="E679" s="14"/>
    </row>
    <row r="680" spans="1:5" x14ac:dyDescent="0.3">
      <c r="A680" s="1"/>
      <c r="E680" s="14"/>
    </row>
    <row r="681" spans="1:5" x14ac:dyDescent="0.3">
      <c r="A681" s="1"/>
      <c r="E681" s="14"/>
    </row>
    <row r="682" spans="1:5" x14ac:dyDescent="0.3">
      <c r="A682" s="1"/>
      <c r="E682" s="14"/>
    </row>
    <row r="683" spans="1:5" x14ac:dyDescent="0.3">
      <c r="A683" s="1"/>
      <c r="E683" s="14"/>
    </row>
    <row r="684" spans="1:5" x14ac:dyDescent="0.3">
      <c r="A684" s="1"/>
      <c r="E684" s="14"/>
    </row>
    <row r="685" spans="1:5" x14ac:dyDescent="0.3">
      <c r="A685" s="1"/>
      <c r="E685" s="14"/>
    </row>
    <row r="686" spans="1:5" x14ac:dyDescent="0.3">
      <c r="A686" s="1"/>
      <c r="E686" s="14"/>
    </row>
    <row r="687" spans="1:5" x14ac:dyDescent="0.3">
      <c r="A687" s="1"/>
      <c r="E687" s="14"/>
    </row>
    <row r="688" spans="1:5" x14ac:dyDescent="0.3">
      <c r="A688" s="1"/>
      <c r="E688" s="14"/>
    </row>
    <row r="689" spans="1:5" x14ac:dyDescent="0.3">
      <c r="A689" s="1"/>
      <c r="E689" s="14"/>
    </row>
    <row r="690" spans="1:5" x14ac:dyDescent="0.3">
      <c r="A690" s="1"/>
      <c r="E690" s="14"/>
    </row>
    <row r="691" spans="1:5" x14ac:dyDescent="0.3">
      <c r="A691" s="1"/>
      <c r="E691" s="14"/>
    </row>
    <row r="692" spans="1:5" x14ac:dyDescent="0.3">
      <c r="A692" s="1"/>
      <c r="E692" s="14"/>
    </row>
    <row r="693" spans="1:5" x14ac:dyDescent="0.3">
      <c r="A693" s="1"/>
      <c r="E693" s="14"/>
    </row>
    <row r="694" spans="1:5" x14ac:dyDescent="0.3">
      <c r="A694" s="1"/>
      <c r="E694" s="14"/>
    </row>
    <row r="695" spans="1:5" x14ac:dyDescent="0.3">
      <c r="A695" s="1"/>
      <c r="E695" s="14"/>
    </row>
    <row r="696" spans="1:5" x14ac:dyDescent="0.3">
      <c r="A696" s="1"/>
      <c r="E696" s="14"/>
    </row>
    <row r="697" spans="1:5" x14ac:dyDescent="0.3">
      <c r="A697" s="1"/>
      <c r="E697" s="14"/>
    </row>
    <row r="698" spans="1:5" x14ac:dyDescent="0.3">
      <c r="A698" s="1"/>
      <c r="E698" s="14"/>
    </row>
    <row r="699" spans="1:5" x14ac:dyDescent="0.3">
      <c r="A699" s="1"/>
      <c r="E699" s="14"/>
    </row>
    <row r="700" spans="1:5" x14ac:dyDescent="0.3">
      <c r="A700" s="1"/>
      <c r="E700" s="14"/>
    </row>
    <row r="701" spans="1:5" x14ac:dyDescent="0.3">
      <c r="A701" s="1"/>
      <c r="E701" s="14"/>
    </row>
    <row r="702" spans="1:5" x14ac:dyDescent="0.3">
      <c r="A702" s="1"/>
      <c r="E702" s="14"/>
    </row>
    <row r="703" spans="1:5" x14ac:dyDescent="0.3">
      <c r="A703" s="1"/>
      <c r="E703" s="14"/>
    </row>
    <row r="704" spans="1:5" x14ac:dyDescent="0.3">
      <c r="A704" s="1"/>
      <c r="E704" s="14"/>
    </row>
    <row r="705" spans="1:5" x14ac:dyDescent="0.3">
      <c r="A705" s="1"/>
      <c r="E705" s="14"/>
    </row>
    <row r="706" spans="1:5" x14ac:dyDescent="0.3">
      <c r="A706" s="1"/>
      <c r="E706" s="14"/>
    </row>
    <row r="707" spans="1:5" x14ac:dyDescent="0.3">
      <c r="A707" s="1"/>
      <c r="E707" s="14"/>
    </row>
    <row r="708" spans="1:5" x14ac:dyDescent="0.3">
      <c r="A708" s="1"/>
      <c r="E708" s="14"/>
    </row>
    <row r="709" spans="1:5" x14ac:dyDescent="0.3">
      <c r="A709" s="1"/>
      <c r="E709" s="14"/>
    </row>
    <row r="710" spans="1:5" x14ac:dyDescent="0.3">
      <c r="A710" s="1"/>
      <c r="E710" s="14"/>
    </row>
    <row r="711" spans="1:5" x14ac:dyDescent="0.3">
      <c r="A711" s="1"/>
      <c r="E711" s="14"/>
    </row>
    <row r="712" spans="1:5" x14ac:dyDescent="0.3">
      <c r="A712" s="1"/>
      <c r="E712" s="14"/>
    </row>
    <row r="713" spans="1:5" x14ac:dyDescent="0.3">
      <c r="A713" s="1"/>
      <c r="E713" s="14"/>
    </row>
    <row r="714" spans="1:5" x14ac:dyDescent="0.3">
      <c r="A714" s="1"/>
      <c r="E714" s="14"/>
    </row>
    <row r="715" spans="1:5" x14ac:dyDescent="0.3">
      <c r="A715" s="1"/>
      <c r="E715" s="14"/>
    </row>
    <row r="716" spans="1:5" x14ac:dyDescent="0.3">
      <c r="A716" s="1"/>
      <c r="E716" s="14"/>
    </row>
    <row r="717" spans="1:5" x14ac:dyDescent="0.3">
      <c r="A717" s="1"/>
      <c r="E717" s="14"/>
    </row>
    <row r="718" spans="1:5" x14ac:dyDescent="0.3">
      <c r="A718" s="1"/>
      <c r="E718" s="14"/>
    </row>
    <row r="719" spans="1:5" x14ac:dyDescent="0.3">
      <c r="A719" s="1"/>
      <c r="E719" s="14"/>
    </row>
    <row r="720" spans="1:5" x14ac:dyDescent="0.3">
      <c r="A720" s="1"/>
      <c r="E720" s="14"/>
    </row>
    <row r="721" spans="1:5" x14ac:dyDescent="0.3">
      <c r="A721" s="1"/>
      <c r="E721" s="14"/>
    </row>
    <row r="722" spans="1:5" x14ac:dyDescent="0.3">
      <c r="A722" s="1"/>
      <c r="E722" s="14"/>
    </row>
    <row r="723" spans="1:5" x14ac:dyDescent="0.3">
      <c r="A723" s="1"/>
      <c r="E723" s="14"/>
    </row>
    <row r="724" spans="1:5" x14ac:dyDescent="0.3">
      <c r="A724" s="1"/>
      <c r="E724" s="14"/>
    </row>
    <row r="725" spans="1:5" x14ac:dyDescent="0.3">
      <c r="A725" s="1"/>
      <c r="E725" s="14"/>
    </row>
    <row r="726" spans="1:5" x14ac:dyDescent="0.3">
      <c r="A726" s="1"/>
      <c r="E726" s="14"/>
    </row>
    <row r="727" spans="1:5" x14ac:dyDescent="0.3">
      <c r="A727" s="1"/>
      <c r="E727" s="14"/>
    </row>
    <row r="728" spans="1:5" x14ac:dyDescent="0.3">
      <c r="A728" s="1"/>
      <c r="E728" s="14"/>
    </row>
    <row r="729" spans="1:5" x14ac:dyDescent="0.3">
      <c r="A729" s="1"/>
      <c r="E729" s="14"/>
    </row>
    <row r="730" spans="1:5" x14ac:dyDescent="0.3">
      <c r="A730" s="1"/>
      <c r="E730" s="14"/>
    </row>
    <row r="731" spans="1:5" x14ac:dyDescent="0.3">
      <c r="A731" s="1"/>
      <c r="E731" s="14"/>
    </row>
    <row r="732" spans="1:5" x14ac:dyDescent="0.3">
      <c r="A732" s="1"/>
      <c r="E732" s="14"/>
    </row>
    <row r="733" spans="1:5" x14ac:dyDescent="0.3">
      <c r="A733" s="1"/>
      <c r="E733" s="14"/>
    </row>
    <row r="734" spans="1:5" x14ac:dyDescent="0.3">
      <c r="A734" s="1"/>
      <c r="E734" s="14"/>
    </row>
    <row r="735" spans="1:5" x14ac:dyDescent="0.3">
      <c r="A735" s="1"/>
      <c r="E735" s="14"/>
    </row>
    <row r="736" spans="1:5" x14ac:dyDescent="0.3">
      <c r="A736" s="1"/>
      <c r="E736" s="14"/>
    </row>
    <row r="737" spans="1:5" x14ac:dyDescent="0.3">
      <c r="A737" s="1"/>
      <c r="E737" s="14"/>
    </row>
    <row r="738" spans="1:5" x14ac:dyDescent="0.3">
      <c r="A738" s="1"/>
      <c r="E738" s="14"/>
    </row>
    <row r="739" spans="1:5" x14ac:dyDescent="0.3">
      <c r="A739" s="1"/>
      <c r="E739" s="14"/>
    </row>
    <row r="740" spans="1:5" x14ac:dyDescent="0.3">
      <c r="A740" s="1"/>
      <c r="E740" s="14"/>
    </row>
    <row r="741" spans="1:5" x14ac:dyDescent="0.3">
      <c r="A741" s="1"/>
      <c r="E741" s="14"/>
    </row>
    <row r="742" spans="1:5" x14ac:dyDescent="0.3">
      <c r="A742" s="1"/>
      <c r="E742" s="14"/>
    </row>
    <row r="743" spans="1:5" x14ac:dyDescent="0.3">
      <c r="A743" s="1"/>
      <c r="E743" s="14"/>
    </row>
    <row r="744" spans="1:5" x14ac:dyDescent="0.3">
      <c r="A744" s="1"/>
      <c r="E744" s="14"/>
    </row>
    <row r="745" spans="1:5" x14ac:dyDescent="0.3">
      <c r="A745" s="1"/>
      <c r="E745" s="14"/>
    </row>
    <row r="746" spans="1:5" x14ac:dyDescent="0.3">
      <c r="A746" s="1"/>
      <c r="E746" s="14"/>
    </row>
    <row r="747" spans="1:5" x14ac:dyDescent="0.3">
      <c r="A747" s="1"/>
      <c r="E747" s="14"/>
    </row>
    <row r="748" spans="1:5" x14ac:dyDescent="0.3">
      <c r="A748" s="1"/>
      <c r="E748" s="14"/>
    </row>
    <row r="749" spans="1:5" x14ac:dyDescent="0.3">
      <c r="A749" s="1"/>
      <c r="E749" s="14"/>
    </row>
    <row r="750" spans="1:5" x14ac:dyDescent="0.3">
      <c r="A750" s="1"/>
      <c r="E750" s="14"/>
    </row>
    <row r="751" spans="1:5" x14ac:dyDescent="0.3">
      <c r="A751" s="1"/>
      <c r="E751" s="14"/>
    </row>
    <row r="752" spans="1:5" x14ac:dyDescent="0.3">
      <c r="A752" s="1"/>
      <c r="E752" s="14"/>
    </row>
    <row r="753" spans="1:5" x14ac:dyDescent="0.3">
      <c r="A753" s="1"/>
      <c r="E753" s="14"/>
    </row>
    <row r="754" spans="1:5" x14ac:dyDescent="0.3">
      <c r="A754" s="1"/>
      <c r="E754" s="14"/>
    </row>
    <row r="755" spans="1:5" x14ac:dyDescent="0.3">
      <c r="A755" s="1"/>
      <c r="E755" s="14"/>
    </row>
    <row r="756" spans="1:5" x14ac:dyDescent="0.3">
      <c r="A756" s="1"/>
      <c r="E756" s="14"/>
    </row>
    <row r="757" spans="1:5" x14ac:dyDescent="0.3">
      <c r="A757" s="1"/>
      <c r="E757" s="14"/>
    </row>
    <row r="758" spans="1:5" x14ac:dyDescent="0.3">
      <c r="A758" s="1"/>
      <c r="E758" s="14"/>
    </row>
    <row r="759" spans="1:5" x14ac:dyDescent="0.3">
      <c r="A759" s="1"/>
      <c r="E759" s="14"/>
    </row>
    <row r="760" spans="1:5" x14ac:dyDescent="0.3">
      <c r="A760" s="1"/>
      <c r="E760" s="14"/>
    </row>
    <row r="761" spans="1:5" x14ac:dyDescent="0.3">
      <c r="A761" s="1"/>
      <c r="E761" s="14"/>
    </row>
    <row r="762" spans="1:5" x14ac:dyDescent="0.3">
      <c r="A762" s="1"/>
      <c r="E762" s="14"/>
    </row>
    <row r="763" spans="1:5" x14ac:dyDescent="0.3">
      <c r="A763" s="1"/>
      <c r="E763" s="14"/>
    </row>
    <row r="764" spans="1:5" x14ac:dyDescent="0.3">
      <c r="A764" s="1"/>
      <c r="E764" s="14"/>
    </row>
    <row r="765" spans="1:5" x14ac:dyDescent="0.3">
      <c r="A765" s="1"/>
      <c r="E765" s="14"/>
    </row>
    <row r="766" spans="1:5" x14ac:dyDescent="0.3">
      <c r="A766" s="1"/>
      <c r="E766" s="14"/>
    </row>
    <row r="767" spans="1:5" x14ac:dyDescent="0.3">
      <c r="A767" s="1"/>
      <c r="E767" s="14"/>
    </row>
    <row r="768" spans="1:5" x14ac:dyDescent="0.3">
      <c r="A768" s="1"/>
      <c r="E768" s="14"/>
    </row>
    <row r="769" spans="1:5" x14ac:dyDescent="0.3">
      <c r="A769" s="1"/>
      <c r="E769" s="14"/>
    </row>
    <row r="770" spans="1:5" x14ac:dyDescent="0.3">
      <c r="A770" s="1"/>
      <c r="E770" s="14"/>
    </row>
    <row r="771" spans="1:5" x14ac:dyDescent="0.3">
      <c r="A771" s="1"/>
      <c r="E771" s="14"/>
    </row>
    <row r="772" spans="1:5" x14ac:dyDescent="0.3">
      <c r="A772" s="1"/>
      <c r="E772" s="14"/>
    </row>
    <row r="773" spans="1:5" x14ac:dyDescent="0.3">
      <c r="A773" s="1"/>
      <c r="E773" s="14"/>
    </row>
    <row r="774" spans="1:5" x14ac:dyDescent="0.3">
      <c r="A774" s="1"/>
      <c r="E774" s="14"/>
    </row>
    <row r="775" spans="1:5" x14ac:dyDescent="0.3">
      <c r="A775" s="1"/>
      <c r="E775" s="14"/>
    </row>
    <row r="776" spans="1:5" x14ac:dyDescent="0.3">
      <c r="A776" s="1"/>
      <c r="E776" s="14"/>
    </row>
    <row r="777" spans="1:5" x14ac:dyDescent="0.3">
      <c r="A777" s="1"/>
      <c r="E777" s="14"/>
    </row>
    <row r="778" spans="1:5" x14ac:dyDescent="0.3">
      <c r="A778" s="1"/>
      <c r="E778" s="14"/>
    </row>
    <row r="779" spans="1:5" x14ac:dyDescent="0.3">
      <c r="A779" s="1"/>
      <c r="E779" s="14"/>
    </row>
    <row r="780" spans="1:5" x14ac:dyDescent="0.3">
      <c r="A780" s="1"/>
      <c r="E780" s="14"/>
    </row>
    <row r="781" spans="1:5" x14ac:dyDescent="0.3">
      <c r="A781" s="1"/>
      <c r="E781" s="14"/>
    </row>
    <row r="782" spans="1:5" x14ac:dyDescent="0.3">
      <c r="A782" s="1"/>
      <c r="E782" s="14"/>
    </row>
    <row r="783" spans="1:5" x14ac:dyDescent="0.3">
      <c r="A783" s="1"/>
      <c r="E783" s="14"/>
    </row>
    <row r="784" spans="1:5" x14ac:dyDescent="0.3">
      <c r="A784" s="1"/>
      <c r="E784" s="14"/>
    </row>
    <row r="785" spans="1:5" x14ac:dyDescent="0.3">
      <c r="A785" s="1"/>
      <c r="E785" s="14"/>
    </row>
    <row r="786" spans="1:5" x14ac:dyDescent="0.3">
      <c r="A786" s="1"/>
      <c r="E786" s="14"/>
    </row>
    <row r="787" spans="1:5" x14ac:dyDescent="0.3">
      <c r="A787" s="1"/>
      <c r="E787" s="14"/>
    </row>
    <row r="788" spans="1:5" x14ac:dyDescent="0.3">
      <c r="A788" s="1"/>
      <c r="E788" s="14"/>
    </row>
    <row r="789" spans="1:5" x14ac:dyDescent="0.3">
      <c r="A789" s="1"/>
      <c r="E789" s="14"/>
    </row>
    <row r="790" spans="1:5" x14ac:dyDescent="0.3">
      <c r="A790" s="1"/>
      <c r="E790" s="14"/>
    </row>
    <row r="791" spans="1:5" x14ac:dyDescent="0.3">
      <c r="A791" s="1"/>
      <c r="E791" s="14"/>
    </row>
    <row r="792" spans="1:5" x14ac:dyDescent="0.3">
      <c r="A792" s="1"/>
      <c r="E792" s="14"/>
    </row>
    <row r="793" spans="1:5" x14ac:dyDescent="0.3">
      <c r="A793" s="1"/>
      <c r="E793" s="14"/>
    </row>
    <row r="794" spans="1:5" x14ac:dyDescent="0.3">
      <c r="A794" s="1"/>
      <c r="E794" s="14"/>
    </row>
    <row r="795" spans="1:5" x14ac:dyDescent="0.3">
      <c r="A795" s="1"/>
      <c r="E795" s="14"/>
    </row>
    <row r="796" spans="1:5" x14ac:dyDescent="0.3">
      <c r="A796" s="1"/>
      <c r="E796" s="14"/>
    </row>
    <row r="797" spans="1:5" x14ac:dyDescent="0.3">
      <c r="A797" s="1"/>
      <c r="E797" s="14"/>
    </row>
    <row r="798" spans="1:5" x14ac:dyDescent="0.3">
      <c r="A798" s="1"/>
      <c r="E798" s="14"/>
    </row>
    <row r="799" spans="1:5" x14ac:dyDescent="0.3">
      <c r="A799" s="1"/>
      <c r="E799" s="14"/>
    </row>
    <row r="800" spans="1:5" x14ac:dyDescent="0.3">
      <c r="A800" s="1"/>
      <c r="E800" s="14"/>
    </row>
    <row r="801" spans="1:5" x14ac:dyDescent="0.3">
      <c r="A801" s="1"/>
      <c r="E801" s="14"/>
    </row>
    <row r="802" spans="1:5" x14ac:dyDescent="0.3">
      <c r="A802" s="1"/>
      <c r="E802" s="14"/>
    </row>
    <row r="803" spans="1:5" x14ac:dyDescent="0.3">
      <c r="A803" s="1"/>
      <c r="E803" s="14"/>
    </row>
    <row r="804" spans="1:5" x14ac:dyDescent="0.3">
      <c r="A804" s="1"/>
      <c r="E804" s="14"/>
    </row>
    <row r="805" spans="1:5" x14ac:dyDescent="0.3">
      <c r="A805" s="1"/>
      <c r="E805" s="14"/>
    </row>
    <row r="806" spans="1:5" x14ac:dyDescent="0.3">
      <c r="A806" s="1"/>
      <c r="E806" s="14"/>
    </row>
    <row r="807" spans="1:5" x14ac:dyDescent="0.3">
      <c r="A807" s="1"/>
      <c r="E807" s="14"/>
    </row>
    <row r="808" spans="1:5" x14ac:dyDescent="0.3">
      <c r="A808" s="1"/>
      <c r="E808" s="14"/>
    </row>
    <row r="809" spans="1:5" x14ac:dyDescent="0.3">
      <c r="A809" s="1"/>
      <c r="E809" s="14"/>
    </row>
    <row r="810" spans="1:5" x14ac:dyDescent="0.3">
      <c r="A810" s="1"/>
      <c r="E810" s="14"/>
    </row>
    <row r="811" spans="1:5" x14ac:dyDescent="0.3">
      <c r="A811" s="1"/>
      <c r="E811" s="14"/>
    </row>
    <row r="812" spans="1:5" x14ac:dyDescent="0.3">
      <c r="A812" s="1"/>
      <c r="E812" s="14"/>
    </row>
    <row r="813" spans="1:5" x14ac:dyDescent="0.3">
      <c r="A813" s="1"/>
      <c r="E813" s="14"/>
    </row>
    <row r="814" spans="1:5" x14ac:dyDescent="0.3">
      <c r="A814" s="1"/>
      <c r="E814" s="14"/>
    </row>
    <row r="815" spans="1:5" x14ac:dyDescent="0.3">
      <c r="A815" s="1"/>
      <c r="E815" s="14"/>
    </row>
    <row r="816" spans="1:5" x14ac:dyDescent="0.3">
      <c r="A816" s="1"/>
      <c r="E816" s="14"/>
    </row>
    <row r="817" spans="1:5" x14ac:dyDescent="0.3">
      <c r="A817" s="1"/>
      <c r="E817" s="14"/>
    </row>
    <row r="818" spans="1:5" x14ac:dyDescent="0.3">
      <c r="A818" s="1"/>
      <c r="E818" s="14"/>
    </row>
    <row r="819" spans="1:5" x14ac:dyDescent="0.3">
      <c r="A819" s="1"/>
      <c r="E819" s="14"/>
    </row>
    <row r="820" spans="1:5" x14ac:dyDescent="0.3">
      <c r="A820" s="1"/>
      <c r="E820" s="14"/>
    </row>
    <row r="821" spans="1:5" x14ac:dyDescent="0.3">
      <c r="A821" s="1"/>
      <c r="E821" s="14"/>
    </row>
    <row r="822" spans="1:5" x14ac:dyDescent="0.3">
      <c r="A822" s="1"/>
      <c r="E822" s="14"/>
    </row>
    <row r="823" spans="1:5" x14ac:dyDescent="0.3">
      <c r="A823" s="1"/>
      <c r="E823" s="14"/>
    </row>
    <row r="824" spans="1:5" x14ac:dyDescent="0.3">
      <c r="A824" s="1"/>
      <c r="E824" s="14"/>
    </row>
    <row r="825" spans="1:5" x14ac:dyDescent="0.3">
      <c r="A825" s="1"/>
      <c r="E825" s="14"/>
    </row>
    <row r="826" spans="1:5" x14ac:dyDescent="0.3">
      <c r="A826" s="1"/>
      <c r="E826" s="14"/>
    </row>
    <row r="827" spans="1:5" x14ac:dyDescent="0.3">
      <c r="A827" s="1"/>
      <c r="E827" s="14"/>
    </row>
    <row r="828" spans="1:5" x14ac:dyDescent="0.3">
      <c r="A828" s="1"/>
      <c r="E828" s="14"/>
    </row>
    <row r="829" spans="1:5" x14ac:dyDescent="0.3">
      <c r="A829" s="1"/>
      <c r="E829" s="14"/>
    </row>
    <row r="830" spans="1:5" x14ac:dyDescent="0.3">
      <c r="A830" s="1"/>
      <c r="E830" s="14"/>
    </row>
    <row r="831" spans="1:5" x14ac:dyDescent="0.3">
      <c r="A831" s="1"/>
      <c r="E831" s="14"/>
    </row>
    <row r="832" spans="1:5" x14ac:dyDescent="0.3">
      <c r="A832" s="1"/>
      <c r="E832" s="14"/>
    </row>
    <row r="833" spans="1:5" x14ac:dyDescent="0.3">
      <c r="A833" s="1"/>
      <c r="E833" s="14"/>
    </row>
    <row r="834" spans="1:5" x14ac:dyDescent="0.3">
      <c r="A834" s="1"/>
      <c r="E834" s="14"/>
    </row>
    <row r="835" spans="1:5" x14ac:dyDescent="0.3">
      <c r="A835" s="1"/>
      <c r="E835" s="14"/>
    </row>
    <row r="836" spans="1:5" x14ac:dyDescent="0.3">
      <c r="A836" s="1"/>
      <c r="E836" s="14"/>
    </row>
    <row r="837" spans="1:5" x14ac:dyDescent="0.3">
      <c r="A837" s="1"/>
      <c r="E837" s="14"/>
    </row>
    <row r="838" spans="1:5" x14ac:dyDescent="0.3">
      <c r="A838" s="1"/>
      <c r="E838" s="14"/>
    </row>
    <row r="839" spans="1:5" x14ac:dyDescent="0.3">
      <c r="A839" s="1"/>
      <c r="E839" s="14"/>
    </row>
    <row r="840" spans="1:5" x14ac:dyDescent="0.3">
      <c r="A840" s="1"/>
      <c r="E840" s="14"/>
    </row>
    <row r="841" spans="1:5" x14ac:dyDescent="0.3">
      <c r="A841" s="1"/>
      <c r="E841" s="14"/>
    </row>
    <row r="842" spans="1:5" x14ac:dyDescent="0.3">
      <c r="A842" s="1"/>
      <c r="E842" s="14"/>
    </row>
    <row r="843" spans="1:5" x14ac:dyDescent="0.3">
      <c r="A843" s="1"/>
      <c r="E843" s="14"/>
    </row>
    <row r="844" spans="1:5" x14ac:dyDescent="0.3">
      <c r="A844" s="1"/>
      <c r="E844" s="14"/>
    </row>
    <row r="845" spans="1:5" x14ac:dyDescent="0.3">
      <c r="A845" s="1"/>
      <c r="E845" s="14"/>
    </row>
    <row r="846" spans="1:5" x14ac:dyDescent="0.3">
      <c r="A846" s="1"/>
      <c r="E846" s="14"/>
    </row>
    <row r="847" spans="1:5" x14ac:dyDescent="0.3">
      <c r="A847" s="1"/>
      <c r="E847" s="14"/>
    </row>
    <row r="848" spans="1:5" x14ac:dyDescent="0.3">
      <c r="A848" s="1"/>
      <c r="E848" s="14"/>
    </row>
    <row r="849" spans="1:5" x14ac:dyDescent="0.3">
      <c r="A849" s="1"/>
      <c r="E849" s="14"/>
    </row>
    <row r="850" spans="1:5" x14ac:dyDescent="0.3">
      <c r="A850" s="1"/>
      <c r="E850" s="14"/>
    </row>
    <row r="851" spans="1:5" x14ac:dyDescent="0.3">
      <c r="A851" s="1"/>
      <c r="E851" s="14"/>
    </row>
    <row r="852" spans="1:5" x14ac:dyDescent="0.3">
      <c r="A852" s="1"/>
      <c r="E852" s="14"/>
    </row>
    <row r="853" spans="1:5" x14ac:dyDescent="0.3">
      <c r="A853" s="1"/>
      <c r="E853" s="14"/>
    </row>
    <row r="854" spans="1:5" x14ac:dyDescent="0.3">
      <c r="A854" s="1"/>
      <c r="E854" s="14"/>
    </row>
    <row r="855" spans="1:5" x14ac:dyDescent="0.3">
      <c r="A855" s="1"/>
      <c r="E855" s="14"/>
    </row>
    <row r="856" spans="1:5" x14ac:dyDescent="0.3">
      <c r="A856" s="1"/>
      <c r="E856" s="14"/>
    </row>
    <row r="857" spans="1:5" x14ac:dyDescent="0.3">
      <c r="A857" s="1"/>
      <c r="E857" s="14"/>
    </row>
    <row r="858" spans="1:5" x14ac:dyDescent="0.3">
      <c r="A858" s="1"/>
      <c r="E858" s="14"/>
    </row>
    <row r="859" spans="1:5" x14ac:dyDescent="0.3">
      <c r="A859" s="1"/>
      <c r="E859" s="14"/>
    </row>
    <row r="860" spans="1:5" x14ac:dyDescent="0.3">
      <c r="A860" s="1"/>
      <c r="E860" s="14"/>
    </row>
    <row r="861" spans="1:5" x14ac:dyDescent="0.3">
      <c r="A861" s="1"/>
      <c r="E861" s="14"/>
    </row>
    <row r="862" spans="1:5" x14ac:dyDescent="0.3">
      <c r="A862" s="1"/>
      <c r="E862" s="14"/>
    </row>
    <row r="863" spans="1:5" x14ac:dyDescent="0.3">
      <c r="A863" s="1"/>
      <c r="E863" s="14"/>
    </row>
    <row r="864" spans="1:5" x14ac:dyDescent="0.3">
      <c r="A864" s="1"/>
      <c r="E864" s="14"/>
    </row>
    <row r="865" spans="1:5" x14ac:dyDescent="0.3">
      <c r="A865" s="1"/>
      <c r="E865" s="14"/>
    </row>
    <row r="866" spans="1:5" x14ac:dyDescent="0.3">
      <c r="A866" s="1"/>
      <c r="E866" s="14"/>
    </row>
    <row r="867" spans="1:5" x14ac:dyDescent="0.3">
      <c r="A867" s="1"/>
      <c r="E867" s="14"/>
    </row>
    <row r="868" spans="1:5" x14ac:dyDescent="0.3">
      <c r="A868" s="1"/>
      <c r="E868" s="14"/>
    </row>
    <row r="869" spans="1:5" x14ac:dyDescent="0.3">
      <c r="A869" s="1"/>
      <c r="E869" s="14"/>
    </row>
    <row r="870" spans="1:5" x14ac:dyDescent="0.3">
      <c r="A870" s="1"/>
      <c r="E870" s="14"/>
    </row>
    <row r="871" spans="1:5" x14ac:dyDescent="0.3">
      <c r="A871" s="1"/>
      <c r="E871" s="14"/>
    </row>
    <row r="872" spans="1:5" x14ac:dyDescent="0.3">
      <c r="A872" s="1"/>
      <c r="E872" s="14"/>
    </row>
    <row r="873" spans="1:5" x14ac:dyDescent="0.3">
      <c r="A873" s="1"/>
      <c r="E873" s="14"/>
    </row>
    <row r="874" spans="1:5" x14ac:dyDescent="0.3">
      <c r="A874" s="1"/>
      <c r="E874" s="14"/>
    </row>
    <row r="875" spans="1:5" x14ac:dyDescent="0.3">
      <c r="A875" s="1"/>
      <c r="E875" s="14"/>
    </row>
    <row r="876" spans="1:5" x14ac:dyDescent="0.3">
      <c r="A876" s="1"/>
      <c r="E876" s="14"/>
    </row>
    <row r="877" spans="1:5" x14ac:dyDescent="0.3">
      <c r="A877" s="1"/>
      <c r="E877" s="14"/>
    </row>
    <row r="878" spans="1:5" x14ac:dyDescent="0.3">
      <c r="A878" s="1"/>
      <c r="E878" s="14"/>
    </row>
    <row r="879" spans="1:5" x14ac:dyDescent="0.3">
      <c r="A879" s="1"/>
      <c r="E879" s="14"/>
    </row>
    <row r="880" spans="1:5" x14ac:dyDescent="0.3">
      <c r="A880" s="1"/>
      <c r="E880" s="14"/>
    </row>
    <row r="881" spans="1:5" x14ac:dyDescent="0.3">
      <c r="A881" s="1"/>
      <c r="E881" s="14"/>
    </row>
    <row r="882" spans="1:5" x14ac:dyDescent="0.3">
      <c r="A882" s="1"/>
      <c r="E882" s="14"/>
    </row>
    <row r="883" spans="1:5" x14ac:dyDescent="0.3">
      <c r="A883" s="1"/>
      <c r="E883" s="14"/>
    </row>
    <row r="884" spans="1:5" x14ac:dyDescent="0.3">
      <c r="A884" s="1"/>
      <c r="E884" s="14"/>
    </row>
    <row r="885" spans="1:5" x14ac:dyDescent="0.3">
      <c r="A885" s="1"/>
      <c r="E885" s="14"/>
    </row>
    <row r="886" spans="1:5" x14ac:dyDescent="0.3">
      <c r="A886" s="1"/>
      <c r="E886" s="14"/>
    </row>
    <row r="887" spans="1:5" x14ac:dyDescent="0.3">
      <c r="A887" s="1"/>
      <c r="E887" s="14"/>
    </row>
    <row r="888" spans="1:5" x14ac:dyDescent="0.3">
      <c r="A888" s="1"/>
      <c r="E888" s="14"/>
    </row>
    <row r="889" spans="1:5" x14ac:dyDescent="0.3">
      <c r="A889" s="1"/>
      <c r="E889" s="14"/>
    </row>
    <row r="890" spans="1:5" x14ac:dyDescent="0.3">
      <c r="A890" s="1"/>
      <c r="E890" s="14"/>
    </row>
    <row r="891" spans="1:5" x14ac:dyDescent="0.3">
      <c r="A891" s="1"/>
      <c r="E891" s="14"/>
    </row>
    <row r="892" spans="1:5" x14ac:dyDescent="0.3">
      <c r="A892" s="1"/>
      <c r="E892" s="14"/>
    </row>
    <row r="893" spans="1:5" x14ac:dyDescent="0.3">
      <c r="A893" s="1"/>
      <c r="E893" s="14"/>
    </row>
    <row r="894" spans="1:5" x14ac:dyDescent="0.3">
      <c r="A894" s="1"/>
      <c r="E894" s="14"/>
    </row>
    <row r="895" spans="1:5" x14ac:dyDescent="0.3">
      <c r="A895" s="1"/>
      <c r="E895" s="14"/>
    </row>
    <row r="896" spans="1:5" x14ac:dyDescent="0.3">
      <c r="A896" s="1"/>
      <c r="E896" s="14"/>
    </row>
    <row r="897" spans="1:5" x14ac:dyDescent="0.3">
      <c r="A897" s="1"/>
      <c r="E897" s="14"/>
    </row>
    <row r="898" spans="1:5" x14ac:dyDescent="0.3">
      <c r="A898" s="1"/>
      <c r="E898" s="14"/>
    </row>
    <row r="899" spans="1:5" x14ac:dyDescent="0.3">
      <c r="A899" s="1"/>
      <c r="E899" s="14"/>
    </row>
    <row r="900" spans="1:5" x14ac:dyDescent="0.3">
      <c r="A900" s="1"/>
      <c r="E900" s="14"/>
    </row>
    <row r="901" spans="1:5" x14ac:dyDescent="0.3">
      <c r="A901" s="1"/>
      <c r="E901" s="14"/>
    </row>
    <row r="902" spans="1:5" x14ac:dyDescent="0.3">
      <c r="A902" s="1"/>
      <c r="E902" s="14"/>
    </row>
    <row r="903" spans="1:5" x14ac:dyDescent="0.3">
      <c r="A903" s="1"/>
      <c r="E903" s="14"/>
    </row>
    <row r="904" spans="1:5" x14ac:dyDescent="0.3">
      <c r="A904" s="1"/>
      <c r="E904" s="14"/>
    </row>
    <row r="905" spans="1:5" x14ac:dyDescent="0.3">
      <c r="A905" s="1"/>
      <c r="E905" s="14"/>
    </row>
    <row r="906" spans="1:5" x14ac:dyDescent="0.3">
      <c r="A906" s="1"/>
      <c r="E906" s="14"/>
    </row>
    <row r="907" spans="1:5" x14ac:dyDescent="0.3">
      <c r="A907" s="1"/>
      <c r="E907" s="14"/>
    </row>
    <row r="908" spans="1:5" x14ac:dyDescent="0.3">
      <c r="A908" s="1"/>
      <c r="E908" s="14"/>
    </row>
    <row r="909" spans="1:5" x14ac:dyDescent="0.3">
      <c r="A909" s="1"/>
      <c r="E909" s="14"/>
    </row>
    <row r="910" spans="1:5" x14ac:dyDescent="0.3">
      <c r="A910" s="1"/>
      <c r="E910" s="14"/>
    </row>
    <row r="911" spans="1:5" x14ac:dyDescent="0.3">
      <c r="A911" s="1"/>
      <c r="E911" s="14"/>
    </row>
    <row r="912" spans="1:5" x14ac:dyDescent="0.3">
      <c r="A912" s="1"/>
      <c r="E912" s="14"/>
    </row>
    <row r="913" spans="1:5" x14ac:dyDescent="0.3">
      <c r="A913" s="1"/>
      <c r="E913" s="14"/>
    </row>
    <row r="914" spans="1:5" x14ac:dyDescent="0.3">
      <c r="A914" s="1"/>
      <c r="E914" s="14"/>
    </row>
    <row r="915" spans="1:5" x14ac:dyDescent="0.3">
      <c r="A915" s="1"/>
      <c r="E915" s="14"/>
    </row>
    <row r="916" spans="1:5" x14ac:dyDescent="0.3">
      <c r="A916" s="1"/>
      <c r="E916" s="14"/>
    </row>
    <row r="917" spans="1:5" x14ac:dyDescent="0.3">
      <c r="A917" s="1"/>
      <c r="E917" s="14"/>
    </row>
    <row r="918" spans="1:5" x14ac:dyDescent="0.3">
      <c r="A918" s="1"/>
      <c r="E918" s="14"/>
    </row>
    <row r="919" spans="1:5" x14ac:dyDescent="0.3">
      <c r="A919" s="1"/>
      <c r="E919" s="14"/>
    </row>
    <row r="920" spans="1:5" x14ac:dyDescent="0.3">
      <c r="A920" s="1"/>
      <c r="E920" s="14"/>
    </row>
    <row r="921" spans="1:5" x14ac:dyDescent="0.3">
      <c r="A921" s="1"/>
      <c r="E921" s="14"/>
    </row>
    <row r="922" spans="1:5" x14ac:dyDescent="0.3">
      <c r="A922" s="1"/>
      <c r="E922" s="14"/>
    </row>
    <row r="923" spans="1:5" x14ac:dyDescent="0.3">
      <c r="A923" s="1"/>
      <c r="E923" s="14"/>
    </row>
    <row r="924" spans="1:5" x14ac:dyDescent="0.3">
      <c r="A924" s="1"/>
      <c r="E924" s="14"/>
    </row>
    <row r="925" spans="1:5" x14ac:dyDescent="0.3">
      <c r="A925" s="1"/>
      <c r="E925" s="14"/>
    </row>
    <row r="926" spans="1:5" x14ac:dyDescent="0.3">
      <c r="A926" s="1"/>
      <c r="E926" s="14"/>
    </row>
    <row r="927" spans="1:5" x14ac:dyDescent="0.3">
      <c r="A927" s="1"/>
      <c r="E927" s="14"/>
    </row>
    <row r="928" spans="1:5" x14ac:dyDescent="0.3">
      <c r="A928" s="1"/>
      <c r="E928" s="14"/>
    </row>
    <row r="929" spans="1:5" x14ac:dyDescent="0.3">
      <c r="A929" s="1"/>
      <c r="E929" s="14"/>
    </row>
    <row r="930" spans="1:5" x14ac:dyDescent="0.3">
      <c r="A930" s="1"/>
      <c r="E930" s="14"/>
    </row>
    <row r="931" spans="1:5" x14ac:dyDescent="0.3">
      <c r="A931" s="1"/>
      <c r="E931" s="14"/>
    </row>
    <row r="932" spans="1:5" x14ac:dyDescent="0.3">
      <c r="A932" s="1"/>
      <c r="E932" s="14"/>
    </row>
    <row r="933" spans="1:5" x14ac:dyDescent="0.3">
      <c r="A933" s="1"/>
      <c r="E933" s="14"/>
    </row>
    <row r="934" spans="1:5" x14ac:dyDescent="0.3">
      <c r="A934" s="1"/>
      <c r="E934" s="14"/>
    </row>
    <row r="935" spans="1:5" x14ac:dyDescent="0.3">
      <c r="A935" s="1"/>
      <c r="E935" s="14"/>
    </row>
    <row r="936" spans="1:5" x14ac:dyDescent="0.3">
      <c r="A936" s="1"/>
      <c r="E936" s="14"/>
    </row>
    <row r="937" spans="1:5" x14ac:dyDescent="0.3">
      <c r="A937" s="1"/>
      <c r="E937" s="14"/>
    </row>
    <row r="938" spans="1:5" x14ac:dyDescent="0.3">
      <c r="A938" s="1"/>
      <c r="E938" s="14"/>
    </row>
    <row r="939" spans="1:5" x14ac:dyDescent="0.3">
      <c r="A939" s="1"/>
      <c r="E939" s="14"/>
    </row>
    <row r="940" spans="1:5" x14ac:dyDescent="0.3">
      <c r="A940" s="1"/>
      <c r="E940" s="14"/>
    </row>
    <row r="941" spans="1:5" x14ac:dyDescent="0.3">
      <c r="A941" s="1"/>
      <c r="E941" s="14"/>
    </row>
    <row r="942" spans="1:5" x14ac:dyDescent="0.3">
      <c r="A942" s="1"/>
      <c r="E942" s="14"/>
    </row>
    <row r="943" spans="1:5" x14ac:dyDescent="0.3">
      <c r="A943" s="1"/>
      <c r="E943" s="14"/>
    </row>
    <row r="944" spans="1:5" x14ac:dyDescent="0.3">
      <c r="A944" s="1"/>
      <c r="E944" s="14"/>
    </row>
    <row r="945" spans="1:5" x14ac:dyDescent="0.3">
      <c r="A945" s="1"/>
      <c r="E945" s="14"/>
    </row>
    <row r="946" spans="1:5" x14ac:dyDescent="0.3">
      <c r="A946" s="1"/>
      <c r="E946" s="14"/>
    </row>
    <row r="947" spans="1:5" x14ac:dyDescent="0.3">
      <c r="A947" s="1"/>
      <c r="E947" s="14"/>
    </row>
    <row r="948" spans="1:5" x14ac:dyDescent="0.3">
      <c r="A948" s="1"/>
      <c r="E948" s="14"/>
    </row>
    <row r="949" spans="1:5" x14ac:dyDescent="0.3">
      <c r="A949" s="1"/>
      <c r="E949" s="14"/>
    </row>
    <row r="950" spans="1:5" x14ac:dyDescent="0.3">
      <c r="A950" s="1"/>
      <c r="E950" s="14"/>
    </row>
    <row r="951" spans="1:5" x14ac:dyDescent="0.3">
      <c r="A951" s="1"/>
      <c r="E951" s="14"/>
    </row>
    <row r="952" spans="1:5" x14ac:dyDescent="0.3">
      <c r="A952" s="1"/>
      <c r="E952" s="14"/>
    </row>
    <row r="953" spans="1:5" x14ac:dyDescent="0.3">
      <c r="A953" s="1"/>
      <c r="E953" s="14"/>
    </row>
    <row r="954" spans="1:5" x14ac:dyDescent="0.3">
      <c r="A954" s="1"/>
      <c r="E954" s="14"/>
    </row>
    <row r="955" spans="1:5" x14ac:dyDescent="0.3">
      <c r="A955" s="1"/>
      <c r="E955" s="14"/>
    </row>
    <row r="956" spans="1:5" x14ac:dyDescent="0.3">
      <c r="A956" s="1"/>
      <c r="E956" s="14"/>
    </row>
    <row r="957" spans="1:5" x14ac:dyDescent="0.3">
      <c r="A957" s="1"/>
      <c r="E957" s="14"/>
    </row>
    <row r="958" spans="1:5" x14ac:dyDescent="0.3">
      <c r="A958" s="1"/>
      <c r="E958" s="14"/>
    </row>
    <row r="959" spans="1:5" x14ac:dyDescent="0.3">
      <c r="A959" s="1"/>
      <c r="E959" s="14"/>
    </row>
    <row r="960" spans="1:5" x14ac:dyDescent="0.3">
      <c r="A960" s="1"/>
      <c r="E960" s="14"/>
    </row>
    <row r="961" spans="1:5" x14ac:dyDescent="0.3">
      <c r="A961" s="1"/>
      <c r="E961" s="14"/>
    </row>
    <row r="962" spans="1:5" x14ac:dyDescent="0.3">
      <c r="A962" s="1"/>
      <c r="E962" s="14"/>
    </row>
    <row r="963" spans="1:5" x14ac:dyDescent="0.3">
      <c r="A963" s="1"/>
      <c r="E963" s="14"/>
    </row>
    <row r="964" spans="1:5" x14ac:dyDescent="0.3">
      <c r="A964" s="1"/>
      <c r="E964" s="14"/>
    </row>
    <row r="965" spans="1:5" x14ac:dyDescent="0.3">
      <c r="A965" s="1"/>
      <c r="E965" s="14"/>
    </row>
    <row r="966" spans="1:5" x14ac:dyDescent="0.3">
      <c r="A966" s="1"/>
      <c r="E966" s="14"/>
    </row>
    <row r="967" spans="1:5" x14ac:dyDescent="0.3">
      <c r="A967" s="1"/>
      <c r="E967" s="14"/>
    </row>
    <row r="968" spans="1:5" x14ac:dyDescent="0.3">
      <c r="A968" s="1"/>
      <c r="E968" s="14"/>
    </row>
    <row r="969" spans="1:5" x14ac:dyDescent="0.3">
      <c r="A969" s="1"/>
      <c r="E969" s="14"/>
    </row>
    <row r="970" spans="1:5" x14ac:dyDescent="0.3">
      <c r="A970" s="1"/>
      <c r="E970" s="14"/>
    </row>
    <row r="971" spans="1:5" x14ac:dyDescent="0.3">
      <c r="A971" s="1"/>
      <c r="E971" s="14"/>
    </row>
    <row r="972" spans="1:5" x14ac:dyDescent="0.3">
      <c r="A972" s="1"/>
      <c r="E972" s="14"/>
    </row>
    <row r="973" spans="1:5" x14ac:dyDescent="0.3">
      <c r="A973" s="1"/>
      <c r="E973" s="14"/>
    </row>
    <row r="974" spans="1:5" x14ac:dyDescent="0.3">
      <c r="A974" s="1"/>
      <c r="E974" s="14"/>
    </row>
    <row r="975" spans="1:5" x14ac:dyDescent="0.3">
      <c r="A975" s="1"/>
      <c r="E975" s="14"/>
    </row>
    <row r="976" spans="1:5" x14ac:dyDescent="0.3">
      <c r="A976" s="1"/>
      <c r="E976" s="14"/>
    </row>
    <row r="977" spans="1:5" x14ac:dyDescent="0.3">
      <c r="A977" s="1"/>
      <c r="E977" s="14"/>
    </row>
    <row r="978" spans="1:5" x14ac:dyDescent="0.3">
      <c r="A978" s="1"/>
      <c r="E978" s="14"/>
    </row>
    <row r="979" spans="1:5" x14ac:dyDescent="0.3">
      <c r="A979" s="1"/>
      <c r="E979" s="14"/>
    </row>
    <row r="980" spans="1:5" x14ac:dyDescent="0.3">
      <c r="A980" s="1"/>
      <c r="E980" s="14"/>
    </row>
    <row r="981" spans="1:5" x14ac:dyDescent="0.3">
      <c r="A981" s="1"/>
      <c r="E981" s="14"/>
    </row>
    <row r="982" spans="1:5" x14ac:dyDescent="0.3">
      <c r="A982" s="1"/>
      <c r="E982" s="14"/>
    </row>
    <row r="983" spans="1:5" x14ac:dyDescent="0.3">
      <c r="A983" s="1"/>
      <c r="E983" s="14"/>
    </row>
    <row r="984" spans="1:5" x14ac:dyDescent="0.3">
      <c r="A984" s="1"/>
      <c r="E984" s="14"/>
    </row>
    <row r="985" spans="1:5" x14ac:dyDescent="0.3">
      <c r="A985" s="1"/>
      <c r="E985" s="14"/>
    </row>
    <row r="986" spans="1:5" x14ac:dyDescent="0.3">
      <c r="A986" s="1"/>
      <c r="E986" s="14"/>
    </row>
    <row r="987" spans="1:5" x14ac:dyDescent="0.3">
      <c r="A987" s="1"/>
      <c r="E987" s="14"/>
    </row>
    <row r="988" spans="1:5" x14ac:dyDescent="0.3">
      <c r="A988" s="1"/>
      <c r="E988" s="14"/>
    </row>
    <row r="989" spans="1:5" x14ac:dyDescent="0.3">
      <c r="A989" s="1"/>
      <c r="E989" s="14"/>
    </row>
    <row r="990" spans="1:5" x14ac:dyDescent="0.3">
      <c r="A990" s="1"/>
      <c r="E990" s="14"/>
    </row>
    <row r="991" spans="1:5" x14ac:dyDescent="0.3">
      <c r="A991" s="1"/>
      <c r="E991" s="14"/>
    </row>
    <row r="992" spans="1:5" x14ac:dyDescent="0.3">
      <c r="A992" s="1"/>
      <c r="E992" s="14"/>
    </row>
    <row r="993" spans="1:5" x14ac:dyDescent="0.3">
      <c r="A993" s="1"/>
      <c r="E993" s="14"/>
    </row>
    <row r="994" spans="1:5" x14ac:dyDescent="0.3">
      <c r="A994" s="1"/>
      <c r="E994" s="14"/>
    </row>
    <row r="995" spans="1:5" x14ac:dyDescent="0.3">
      <c r="A995" s="1"/>
      <c r="E995" s="14"/>
    </row>
    <row r="996" spans="1:5" x14ac:dyDescent="0.3">
      <c r="A996" s="1"/>
      <c r="E996" s="14"/>
    </row>
    <row r="997" spans="1:5" x14ac:dyDescent="0.3">
      <c r="A997" s="1"/>
      <c r="E997" s="14"/>
    </row>
    <row r="998" spans="1:5" x14ac:dyDescent="0.3">
      <c r="A998" s="1"/>
      <c r="E998" s="14"/>
    </row>
    <row r="999" spans="1:5" x14ac:dyDescent="0.3">
      <c r="A999" s="1"/>
      <c r="E999" s="14"/>
    </row>
    <row r="1000" spans="1:5" x14ac:dyDescent="0.3">
      <c r="A1000" s="1"/>
      <c r="E100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2C83-4F6C-454C-8154-262D0FD53727}">
  <dimension ref="A1:D7"/>
  <sheetViews>
    <sheetView tabSelected="1" workbookViewId="0">
      <selection activeCell="A2" sqref="A2"/>
    </sheetView>
  </sheetViews>
  <sheetFormatPr baseColWidth="10" defaultRowHeight="14.4" x14ac:dyDescent="0.3"/>
  <cols>
    <col min="1" max="1" width="14.6640625" bestFit="1" customWidth="1"/>
    <col min="2" max="2" width="15.21875" customWidth="1"/>
    <col min="3" max="3" width="13.6640625" bestFit="1" customWidth="1"/>
    <col min="4" max="4" width="19.33203125" bestFit="1" customWidth="1"/>
  </cols>
  <sheetData>
    <row r="1" spans="1:4" x14ac:dyDescent="0.3">
      <c r="A1" t="s">
        <v>57</v>
      </c>
      <c r="B1" t="s">
        <v>58</v>
      </c>
      <c r="C1" t="s">
        <v>59</v>
      </c>
      <c r="D1" t="s">
        <v>60</v>
      </c>
    </row>
    <row r="3" spans="1:4" ht="21" x14ac:dyDescent="0.3">
      <c r="A3" s="5" t="s">
        <v>51</v>
      </c>
      <c r="B3" s="5" t="s">
        <v>52</v>
      </c>
    </row>
    <row r="4" spans="1:4" x14ac:dyDescent="0.3">
      <c r="A4" s="4" t="s">
        <v>53</v>
      </c>
      <c r="B4" s="4">
        <f>COUNTIF(Descriptive_Stats!C2:C366,"&lt;6")</f>
        <v>156</v>
      </c>
    </row>
    <row r="5" spans="1:4" x14ac:dyDescent="0.3">
      <c r="A5" s="4" t="s">
        <v>54</v>
      </c>
      <c r="B5" s="4">
        <f>COUNTIFS(Descriptive_Stats!C2:C366,"&gt;=6",Descriptive_Stats!C2:C366,"&lt;=10")</f>
        <v>209</v>
      </c>
    </row>
    <row r="6" spans="1:4" x14ac:dyDescent="0.3">
      <c r="A6" s="4" t="s">
        <v>55</v>
      </c>
      <c r="B6" s="4">
        <f>COUNTIFS(Descriptive_Stats!C2:C366,"&gt;=11",Descriptive_Stats!C2:C366,"&lt;=15")</f>
        <v>0</v>
      </c>
    </row>
    <row r="7" spans="1:4" x14ac:dyDescent="0.3">
      <c r="A7" s="4" t="s">
        <v>56</v>
      </c>
      <c r="B7" s="4">
        <f>COUNTIF(Descriptive_Stats!C2:C366,"&gt;15")</f>
        <v>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8BD651-CB23-48C5-ADE3-FEA338DB7F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raw_data</vt:lpstr>
      <vt:lpstr>Descriptive_Stats</vt:lpstr>
      <vt:lpstr>Distributions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Aluhe Maeda Torresan</dc:creator>
  <cp:lastModifiedBy>Aluhe Maeda Torresan</cp:lastModifiedBy>
  <dcterms:created xsi:type="dcterms:W3CDTF">2015-06-05T18:19:34Z</dcterms:created>
  <dcterms:modified xsi:type="dcterms:W3CDTF">2026-02-09T23:14:31Z</dcterms:modified>
</cp:coreProperties>
</file>